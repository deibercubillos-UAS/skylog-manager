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C430F0FC-DEC5-47CE-9585-346D44CD32D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PUESTOS" sheetId="1" r:id="rId1"/>
    <sheet name="Hoja1" sheetId="5" r:id="rId2"/>
    <sheet name="AÑO 1" sheetId="2" r:id="rId3"/>
    <sheet name="5 AÑOS" sheetId="3" r:id="rId4"/>
    <sheet name="VALORACIÓ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1" l="1"/>
  <c r="B40" i="1"/>
  <c r="C16" i="1"/>
  <c r="C15" i="1"/>
  <c r="C14" i="1"/>
  <c r="C13" i="1"/>
  <c r="B27" i="4"/>
  <c r="B28" i="4" s="1"/>
  <c r="D20" i="4"/>
  <c r="B20" i="4"/>
  <c r="C20" i="4" s="1"/>
  <c r="D19" i="4"/>
  <c r="B19" i="4"/>
  <c r="C19" i="4" s="1"/>
  <c r="D18" i="4"/>
  <c r="B18" i="4"/>
  <c r="C18" i="4" s="1"/>
  <c r="C14" i="4"/>
  <c r="B14" i="4"/>
  <c r="D14" i="4" s="1"/>
  <c r="E14" i="4" s="1"/>
  <c r="D13" i="4"/>
  <c r="E13" i="4" s="1"/>
  <c r="C13" i="4"/>
  <c r="B13" i="4"/>
  <c r="C12" i="4"/>
  <c r="D12" i="4" s="1"/>
  <c r="E12" i="4" s="1"/>
  <c r="B12" i="4"/>
  <c r="C7" i="4"/>
  <c r="C6" i="4"/>
  <c r="C5" i="4"/>
  <c r="D19" i="3"/>
  <c r="C19" i="3"/>
  <c r="D18" i="3"/>
  <c r="C18" i="3"/>
  <c r="D17" i="3"/>
  <c r="C17" i="3"/>
  <c r="G16" i="2"/>
  <c r="F16" i="2"/>
  <c r="C16" i="2"/>
  <c r="G15" i="2"/>
  <c r="F15" i="2"/>
  <c r="C15" i="2"/>
  <c r="G14" i="2"/>
  <c r="G18" i="2" s="1"/>
  <c r="F14" i="2"/>
  <c r="C14" i="2"/>
  <c r="G13" i="2"/>
  <c r="F13" i="2"/>
  <c r="C13" i="2"/>
  <c r="G12" i="2"/>
  <c r="F12" i="2"/>
  <c r="C12" i="2"/>
  <c r="G11" i="2"/>
  <c r="F11" i="2"/>
  <c r="C11" i="2"/>
  <c r="G10" i="2"/>
  <c r="F10" i="2"/>
  <c r="C10" i="2"/>
  <c r="G9" i="2"/>
  <c r="F9" i="2"/>
  <c r="C9" i="2"/>
  <c r="G8" i="2"/>
  <c r="F8" i="2"/>
  <c r="C8" i="2"/>
  <c r="G7" i="2"/>
  <c r="F7" i="2"/>
  <c r="C7" i="2"/>
  <c r="G6" i="2"/>
  <c r="F6" i="2"/>
  <c r="C6" i="2"/>
  <c r="G5" i="2"/>
  <c r="F5" i="2"/>
  <c r="F18" i="2" s="1"/>
  <c r="C5" i="2"/>
  <c r="D5" i="2" s="1"/>
  <c r="E70" i="1"/>
  <c r="D70" i="1"/>
  <c r="B70" i="1"/>
  <c r="C70" i="1" s="1"/>
  <c r="E69" i="1"/>
  <c r="D69" i="1"/>
  <c r="B69" i="1"/>
  <c r="C69" i="1" s="1"/>
  <c r="E68" i="1"/>
  <c r="D68" i="1"/>
  <c r="B68" i="1"/>
  <c r="C68" i="1" s="1"/>
  <c r="E67" i="1"/>
  <c r="D67" i="1"/>
  <c r="B67" i="1"/>
  <c r="C67" i="1" s="1"/>
  <c r="E66" i="1"/>
  <c r="D66" i="1"/>
  <c r="B66" i="1"/>
  <c r="C66" i="1" s="1"/>
  <c r="E65" i="1"/>
  <c r="D65" i="1"/>
  <c r="B65" i="1"/>
  <c r="C65" i="1" s="1"/>
  <c r="E64" i="1"/>
  <c r="D64" i="1"/>
  <c r="B64" i="1"/>
  <c r="C64" i="1" s="1"/>
  <c r="E63" i="1"/>
  <c r="D63" i="1"/>
  <c r="B63" i="1"/>
  <c r="C63" i="1" s="1"/>
  <c r="E62" i="1"/>
  <c r="D62" i="1"/>
  <c r="B62" i="1"/>
  <c r="C62" i="1" s="1"/>
  <c r="E61" i="1"/>
  <c r="D61" i="1"/>
  <c r="B61" i="1"/>
  <c r="C61" i="1" s="1"/>
  <c r="E60" i="1"/>
  <c r="D60" i="1"/>
  <c r="B60" i="1"/>
  <c r="C60" i="1" s="1"/>
  <c r="E59" i="1"/>
  <c r="D59" i="1"/>
  <c r="B59" i="1"/>
  <c r="C59" i="1" s="1"/>
  <c r="B39" i="1"/>
  <c r="B38" i="1"/>
  <c r="B37" i="1"/>
  <c r="B36" i="1"/>
  <c r="B28" i="1"/>
  <c r="B17" i="1"/>
  <c r="D9" i="1"/>
  <c r="E8" i="1"/>
  <c r="D8" i="1"/>
  <c r="D7" i="1"/>
  <c r="E7" i="1" s="1"/>
  <c r="E6" i="1"/>
  <c r="D6" i="1"/>
  <c r="B46" i="1" l="1"/>
  <c r="C18" i="2"/>
  <c r="B18" i="1"/>
  <c r="C8" i="3" s="1"/>
  <c r="E5" i="2"/>
  <c r="H5" i="2" s="1"/>
  <c r="D6" i="2"/>
  <c r="B29" i="1" l="1"/>
  <c r="B30" i="1" s="1"/>
  <c r="B31" i="1"/>
  <c r="I5" i="2"/>
  <c r="J5" i="2" s="1"/>
  <c r="D8" i="3"/>
  <c r="F8" i="3" s="1"/>
  <c r="C9" i="3"/>
  <c r="G8" i="3"/>
  <c r="D7" i="2"/>
  <c r="E6" i="2"/>
  <c r="E7" i="2" l="1"/>
  <c r="D8" i="2"/>
  <c r="B20" i="2"/>
  <c r="H6" i="2"/>
  <c r="C10" i="3"/>
  <c r="G9" i="3"/>
  <c r="D9" i="3"/>
  <c r="F9" i="3" s="1"/>
  <c r="I6" i="2" l="1"/>
  <c r="C11" i="3"/>
  <c r="G10" i="3"/>
  <c r="D10" i="3"/>
  <c r="F10" i="3" s="1"/>
  <c r="D9" i="2"/>
  <c r="E8" i="2"/>
  <c r="H7" i="2"/>
  <c r="I7" i="2" s="1"/>
  <c r="J7" i="2" s="1"/>
  <c r="J6" i="2" l="1"/>
  <c r="H8" i="2"/>
  <c r="I8" i="2" s="1"/>
  <c r="J8" i="2" s="1"/>
  <c r="E9" i="2"/>
  <c r="D10" i="2"/>
  <c r="C12" i="3"/>
  <c r="G11" i="3"/>
  <c r="D11" i="3"/>
  <c r="F11" i="3" s="1"/>
  <c r="D12" i="3" l="1"/>
  <c r="F12" i="3" s="1"/>
  <c r="G12" i="3"/>
  <c r="D11" i="2"/>
  <c r="E10" i="2"/>
  <c r="H9" i="2"/>
  <c r="I9" i="2" l="1"/>
  <c r="H10" i="2"/>
  <c r="I10" i="2" s="1"/>
  <c r="J10" i="2" s="1"/>
  <c r="E11" i="2"/>
  <c r="D12" i="2"/>
  <c r="J9" i="2" l="1"/>
  <c r="D13" i="2"/>
  <c r="E12" i="2"/>
  <c r="H11" i="2"/>
  <c r="I11" i="2" s="1"/>
  <c r="J11" i="2" s="1"/>
  <c r="H12" i="2" l="1"/>
  <c r="I12" i="2" s="1"/>
  <c r="E13" i="2"/>
  <c r="D14" i="2"/>
  <c r="J12" i="2" l="1"/>
  <c r="D15" i="2"/>
  <c r="E14" i="2"/>
  <c r="H13" i="2"/>
  <c r="I13" i="2" s="1"/>
  <c r="J13" i="2" s="1"/>
  <c r="H14" i="2" l="1"/>
  <c r="I14" i="2" s="1"/>
  <c r="J14" i="2" s="1"/>
  <c r="K20" i="2" s="1"/>
  <c r="E15" i="2"/>
  <c r="D16" i="2"/>
  <c r="H15" i="2" l="1"/>
  <c r="I15" i="2" s="1"/>
  <c r="J15" i="2" s="1"/>
  <c r="L20" i="2" s="1"/>
  <c r="A22" i="2"/>
  <c r="E16" i="2"/>
  <c r="E18" i="2" s="1"/>
  <c r="H16" i="2" l="1"/>
  <c r="I16" i="2" l="1"/>
  <c r="H18" i="2"/>
  <c r="J16" i="2" l="1"/>
  <c r="I18" i="2"/>
  <c r="M20" i="2" l="1"/>
  <c r="J18" i="2"/>
  <c r="F20" i="2"/>
  <c r="G20" i="2"/>
  <c r="D20" i="2"/>
  <c r="C20" i="2"/>
  <c r="I20" i="2"/>
  <c r="J20" i="2"/>
  <c r="E20" i="2"/>
  <c r="H20" i="2"/>
</calcChain>
</file>

<file path=xl/sharedStrings.xml><?xml version="1.0" encoding="utf-8"?>
<sst xmlns="http://schemas.openxmlformats.org/spreadsheetml/2006/main" count="208" uniqueCount="161">
  <si>
    <t>BITAFLY — SUPUESTOS DEL MODELO</t>
  </si>
  <si>
    <t>Cambia cualquier celda amarilla → todo el modelo se actualiza automáticamente</t>
  </si>
  <si>
    <t>1. PRECIOS (COP)</t>
  </si>
  <si>
    <t>Plan</t>
  </si>
  <si>
    <t>Mensual</t>
  </si>
  <si>
    <t>Anual</t>
  </si>
  <si>
    <t>Equiv. mensual anual</t>
  </si>
  <si>
    <t>Descuento anual</t>
  </si>
  <si>
    <t>Piloto</t>
  </si>
  <si>
    <t>Escuadrilla</t>
  </si>
  <si>
    <t>Flota</t>
  </si>
  <si>
    <t>Enterprise</t>
  </si>
  <si>
    <t>Variable</t>
  </si>
  <si>
    <t>2. MEZCLA DE PLANES (ajustar según tracción real)</t>
  </si>
  <si>
    <t>% de clientes</t>
  </si>
  <si>
    <t>ARPU parcial (COP)</t>
  </si>
  <si>
    <t/>
  </si>
  <si>
    <t>SUMA DE MEZCLA (debe = 100%)</t>
  </si>
  <si>
    <t>★ ARPU MENSUAL MEZCLADO (COP)</t>
  </si>
  <si>
    <t>3. EMBUDO Y RETENCIÓN</t>
  </si>
  <si>
    <t>Valor</t>
  </si>
  <si>
    <t>Notas</t>
  </si>
  <si>
    <t>CPC Google Colombia (COP/clic)</t>
  </si>
  <si>
    <t>Costo por clic en Google Ads</t>
  </si>
  <si>
    <t>Conversión landing → prueba (%)</t>
  </si>
  <si>
    <t>Tasa de registro a prueba gratuita</t>
  </si>
  <si>
    <t>Conversión prueba → pago (%)</t>
  </si>
  <si>
    <t>Tasa de conversión a cliente de pago</t>
  </si>
  <si>
    <t>Churn mensual (%)</t>
  </si>
  <si>
    <t>Cancelaciones por mes (meta &lt;5%)</t>
  </si>
  <si>
    <t>Margen bruto (%)</t>
  </si>
  <si>
    <t>Ingresos – costos directos por cliente</t>
  </si>
  <si>
    <t>CAC (COP / cliente)</t>
  </si>
  <si>
    <t>Costo total por cliente adquirido</t>
  </si>
  <si>
    <t>Vida media del cliente (meses = 1/churn)</t>
  </si>
  <si>
    <t>LTV (COP) = ARPU × Margen × Vida media</t>
  </si>
  <si>
    <t>LTV / CAC</t>
  </si>
  <si>
    <t>Payback de CAC (meses)</t>
  </si>
  <si>
    <t>4. COSTOS FIJOS MENSUALES (COP)</t>
  </si>
  <si>
    <t>Concepto</t>
  </si>
  <si>
    <t>COP/mes</t>
  </si>
  <si>
    <t>USD/mes</t>
  </si>
  <si>
    <t>TRM (COP/USD)</t>
  </si>
  <si>
    <t>Tasa de cambio referencia</t>
  </si>
  <si>
    <t>Vercel</t>
  </si>
  <si>
    <t>Pro plan</t>
  </si>
  <si>
    <t>Supabase</t>
  </si>
  <si>
    <t>Resend</t>
  </si>
  <si>
    <t>Email transaccional</t>
  </si>
  <si>
    <t>Railway</t>
  </si>
  <si>
    <t>Workers/cron</t>
  </si>
  <si>
    <t>Dominio</t>
  </si>
  <si>
    <t>Anual ÷ 12</t>
  </si>
  <si>
    <t>Email corporativo</t>
  </si>
  <si>
    <t>G-Suite o similar</t>
  </si>
  <si>
    <t>ePayco (cuota fija)</t>
  </si>
  <si>
    <t>Flat ≤$5M COP/mes</t>
  </si>
  <si>
    <t>Siigo (facturación)</t>
  </si>
  <si>
    <t>$149.000/año ÷ 12</t>
  </si>
  <si>
    <t>Cámara y Comercio</t>
  </si>
  <si>
    <t>$100.000/año ÷ 12</t>
  </si>
  <si>
    <t>Contador</t>
  </si>
  <si>
    <t>$200.000/año ÷ 12</t>
  </si>
  <si>
    <t>★ TOTAL COSTOS FIJOS BASE</t>
  </si>
  <si>
    <t>5. MARKETING Y EQUIPO</t>
  </si>
  <si>
    <t>Marketing inicial (USD/mes)</t>
  </si>
  <si>
    <t>Mes 1 y 2</t>
  </si>
  <si>
    <t>Incremento mensual marketing (USD)</t>
  </si>
  <si>
    <t>Sube $100 USD cada mes</t>
  </si>
  <si>
    <t>Mes en que arranca el equipo</t>
  </si>
  <si>
    <t>Meses 1-6 sin equipo</t>
  </si>
  <si>
    <t>Costo equipo desde ese mes (COP)</t>
  </si>
  <si>
    <t>2 personas tiempo completo</t>
  </si>
  <si>
    <t>ePayco variable (%)</t>
  </si>
  <si>
    <t>Sobre excedente de $5M COP/mes</t>
  </si>
  <si>
    <t>Umbral ePayco variable (COP)</t>
  </si>
  <si>
    <t>Hasta $5M: cuota fija solamente</t>
  </si>
  <si>
    <t>6. MARKETING MENSUAL ESCALANTE (referencia para AÑO 1)</t>
  </si>
  <si>
    <t>Mes</t>
  </si>
  <si>
    <t>Con equipo (sí/no)</t>
  </si>
  <si>
    <t>Costo equipo (COP)</t>
  </si>
  <si>
    <t>BITAFLY — PROYECCIÓN AÑO 1 (Mes a Mes)</t>
  </si>
  <si>
    <t>← Los valores en amarillo se toman de la hoja SUPUESTOS. Cambia los supuestos allá para actualizar todo.</t>
  </si>
  <si>
    <t>Nuevos clientes</t>
  </si>
  <si>
    <t>Clientes activos</t>
  </si>
  <si>
    <t>MRR (COP)</t>
  </si>
  <si>
    <t>Marketing (COP)</t>
  </si>
  <si>
    <t>Equipo (COP)</t>
  </si>
  <si>
    <t>Costos fijos (COP)</t>
  </si>
  <si>
    <t>Costo total (COP)</t>
  </si>
  <si>
    <t>EBITDA mes (COP)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</si>
  <si>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</si>
  <si>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</si>
  <si>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</si>
  <si>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</si>
  <si>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</si>
  <si>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</si>
  <si>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</si>
  <si>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</si>
  <si>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</si>
  <si>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</si>
  <si>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</si>
  <si>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</si>
  <si>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TOTALES AÑO 1</t>
  </si>
  <si>
    <t>EBITDA ACUMULADO (mes a mes)</t>
  </si>
  <si>
    <t>BITAFLY — PROYECCIÓN 5 AÑOS</t>
  </si>
  <si>
    <t>Año</t>
  </si>
  <si>
    <t>Clientes (fin)</t>
  </si>
  <si>
    <t>ARPU mensual</t>
  </si>
  <si>
    <t>Ingreso anual</t>
  </si>
  <si>
    <t>Margen EBITDA</t>
  </si>
  <si>
    <t>EBITDA</t>
  </si>
  <si>
    <t>ARR run-rate</t>
  </si>
  <si>
    <t>↓ Crecimiento anual ARPU (% por año):</t>
  </si>
  <si>
    <t>↓ Crecimiento clientes Año 2 (% sobre Año 1):</t>
  </si>
  <si>
    <t>⚠ Años 2-5: ajusta manualmente clientes y margen EBITDA según tracción real. ARPU y ARR son fórmulas.</t>
  </si>
  <si>
    <t>Año 1</t>
  </si>
  <si>
    <t>Desde hoja AÑO 1</t>
  </si>
  <si>
    <t>Año 2</t>
  </si>
  <si>
    <t>ARPU +5% / año</t>
  </si>
  <si>
    <t>Año 3</t>
  </si>
  <si>
    <t>Año 4</t>
  </si>
  <si>
    <t>Año 5</t>
  </si>
  <si>
    <t>ANÁLISIS DE SENSIBILIDAD — ARPU</t>
  </si>
  <si>
    <t>Escenario</t>
  </si>
  <si>
    <t>ARPU</t>
  </si>
  <si>
    <t>Ingreso Año 1</t>
  </si>
  <si>
    <t>ARR Año 1</t>
  </si>
  <si>
    <t>Conservador (80% Piloto)</t>
  </si>
  <si>
    <t>Base (60/25/12/3)</t>
  </si>
  <si>
    <t>Optimista (+ Enterprise)</t>
  </si>
  <si>
    <t>BITAFLY — VALORACIÓN Y TABLA DE CAPITALIZACIÓN</t>
  </si>
  <si>
    <t>1. VALORACIÓN PRE-MONEY</t>
  </si>
  <si>
    <t>Pre-money (COP)</t>
  </si>
  <si>
    <t>Pre-money (USD)</t>
  </si>
  <si>
    <t>Base de sustento</t>
  </si>
  <si>
    <t>Conservador</t>
  </si>
  <si>
    <t>Anclado a costo de reposición</t>
  </si>
  <si>
    <t>Base (recomendado)</t>
  </si>
  <si>
    <t>Producto + moat regulatorio + proyección</t>
  </si>
  <si>
    <t>Optimista</t>
  </si>
  <si>
    <t>Con tracción temprana demostrada</t>
  </si>
  <si>
    <t>2. VALOR POR ACCIÓN (total de 1.000 acciones)</t>
  </si>
  <si>
    <t>Total acciones</t>
  </si>
  <si>
    <t>Precio por acción (COP)</t>
  </si>
  <si>
    <t>Precio por acción (USD)</t>
  </si>
  <si>
    <t>Total acciones base</t>
  </si>
  <si>
    <t>3. ESCENARIOS DE RONDA (caso base pre-money $400M)</t>
  </si>
  <si>
    <t>Inversión (COP)</t>
  </si>
  <si>
    <t>Acciones nuevas</t>
  </si>
  <si>
    <t>% entregado</t>
  </si>
  <si>
    <t>Post-money (COP)</t>
  </si>
  <si>
    <t>Recomendado</t>
  </si>
  <si>
    <t>★ RECOMENDADO</t>
  </si>
  <si>
    <t>4. RETORNO PROYECTADO PARA EL INVERSIONISTA (caso base, $180M por 31%)</t>
  </si>
  <si>
    <t>Inversión entrada (COP)</t>
  </si>
  <si>
    <t>% participación</t>
  </si>
  <si>
    <t>Valoración Año 5 (ARR × 4×, COP)</t>
  </si>
  <si>
    <t>Valor participación Año 5 (COP)</t>
  </si>
  <si>
    <t>Retorno múltiplo (×)</t>
  </si>
  <si>
    <t>TIR estimada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</si>
</sst>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COP&quot;"/>
    <numFmt numFmtId="165" formatCode="0.0%"/>
    <numFmt numFmtId="166" formatCode="0.0"/>
    <numFmt numFmtId="167" formatCode="0.0&quot;×&quot;"/>
    <numFmt numFmtId="168" formatCode="0.0\ &quot;meses&quot;"/>
    <numFmt numFmtId="169" formatCode="&quot;USD&quot;\ #,##0"/>
  </numFmts>
  <fonts count="17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39C12"/>
      <name val="Calibri"/>
    </font>
    <font>
      <b/>
      <sz val="12"/>
      <color rgb="FFFFFFFF"/>
      <name val="Calibri"/>
    </font>
    <font>
      <b/>
      <sz val="11"/>
      <color rgb="FF1E3A5F"/>
      <name val="Calibri"/>
    </font>
    <font>
      <b/>
      <sz val="11"/>
      <color rgb="FF000000"/>
      <name val="Calibri"/>
    </font>
    <font>
      <b/>
      <sz val="11"/>
      <color rgb="FF1B7A4A"/>
      <name val="Calibri"/>
    </font>
    <font>
      <b/>
      <sz val="12"/>
      <color rgb="FF2D7DD2"/>
      <name val="Calibri"/>
    </font>
    <font>
      <b/>
      <sz val="11"/>
      <color rgb="FF2D7DD2"/>
      <name val="Calibri"/>
    </font>
    <font>
      <sz val="11"/>
      <color rgb="FFD5D8DC"/>
      <name val="Calibri"/>
    </font>
    <font>
      <b/>
      <sz val="15"/>
      <color rgb="FFFFFFFF"/>
      <name val="Calibri"/>
    </font>
    <font>
      <sz val="10"/>
      <color rgb="FFF39C12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C0392B"/>
      <name val="Calibri"/>
    </font>
    <font>
      <b/>
      <sz val="12"/>
      <color rgb="FF1B7A4A"/>
      <name val="Calibri"/>
    </font>
    <font>
      <b/>
      <sz val="12"/>
      <color rgb="FF0000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EF9E7"/>
      </patternFill>
    </fill>
    <fill>
      <patternFill patternType="solid">
        <fgColor rgb="FF1E3A5F"/>
      </patternFill>
    </fill>
    <fill>
      <patternFill patternType="solid">
        <fgColor rgb="FFD6E8F9"/>
      </patternFill>
    </fill>
    <fill>
      <patternFill patternType="solid">
        <fgColor rgb="FFFFFFFF"/>
      </patternFill>
    </fill>
    <fill>
      <patternFill patternType="solid">
        <fgColor rgb="FFFADBD8"/>
      </patternFill>
    </fill>
    <fill>
      <patternFill patternType="solid">
        <fgColor rgb="FFF2F4F7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0" fillId="3" borderId="1" xfId="0" applyNumberForma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3" borderId="1" xfId="0" applyNumberForma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9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8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1" fontId="0" fillId="3" borderId="1" xfId="0" applyNumberForma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165" fontId="0" fillId="3" borderId="1" xfId="0" applyNumberFormat="1" applyFill="1" applyBorder="1" applyAlignment="1">
      <alignment horizontal="right" vertical="center"/>
    </xf>
    <xf numFmtId="9" fontId="0" fillId="3" borderId="1" xfId="0" applyNumberFormat="1" applyFill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167" fontId="6" fillId="0" borderId="1" xfId="0" applyNumberFormat="1" applyFont="1" applyBorder="1" applyAlignment="1">
      <alignment horizontal="right" vertical="center"/>
    </xf>
    <xf numFmtId="168" fontId="6" fillId="0" borderId="1" xfId="0" applyNumberFormat="1" applyFont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/>
    </xf>
    <xf numFmtId="169" fontId="0" fillId="3" borderId="1" xfId="0" applyNumberFormat="1" applyFill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10" fontId="0" fillId="3" borderId="1" xfId="0" applyNumberFormat="1" applyFill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12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14" fillId="7" borderId="1" xfId="0" applyNumberFormat="1" applyFont="1" applyFill="1" applyBorder="1" applyAlignment="1">
      <alignment horizontal="right" vertical="center"/>
    </xf>
    <xf numFmtId="0" fontId="13" fillId="8" borderId="1" xfId="0" applyFon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3" fontId="0" fillId="8" borderId="1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164" fontId="6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3" fontId="12" fillId="2" borderId="1" xfId="0" applyNumberFormat="1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16" fillId="0" borderId="1" xfId="0" applyFont="1" applyBorder="1" applyAlignment="1">
      <alignment vertical="center"/>
    </xf>
    <xf numFmtId="3" fontId="0" fillId="3" borderId="1" xfId="0" applyNumberForma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0" fontId="5" fillId="3" borderId="1" xfId="0" applyFont="1" applyFill="1" applyBorder="1" applyAlignment="1">
      <alignment vertical="center"/>
    </xf>
    <xf numFmtId="164" fontId="5" fillId="3" borderId="1" xfId="0" applyNumberFormat="1" applyFont="1" applyFill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13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D7DD2"/>
  </sheetPr>
  <dimension ref="A1:E70"/>
  <sheetViews>
    <sheetView showGridLines="0" tabSelected="1" topLeftCell="A54" workbookViewId="0">
      <selection activeCell="B76" sqref="B76"/>
    </sheetView>
  </sheetViews>
  <sheetFormatPr baseColWidth="10" defaultColWidth="8.88671875" defaultRowHeight="14.4" x14ac:dyDescent="0.3"/>
  <cols>
    <col min="1" max="1" width="38" customWidth="1"/>
    <col min="2" max="5" width="22" customWidth="1"/>
  </cols>
  <sheetData>
    <row r="1" spans="1:5" ht="31.95" customHeight="1" x14ac:dyDescent="0.3">
      <c r="A1" s="61" t="s">
        <v>0</v>
      </c>
      <c r="B1" s="61"/>
      <c r="C1" s="61"/>
      <c r="D1" s="61"/>
      <c r="E1" s="61"/>
    </row>
    <row r="2" spans="1:5" ht="19.95" customHeight="1" x14ac:dyDescent="0.3">
      <c r="A2" s="62" t="s">
        <v>1</v>
      </c>
      <c r="B2" s="62"/>
      <c r="C2" s="62"/>
      <c r="D2" s="62"/>
      <c r="E2" s="62"/>
    </row>
    <row r="4" spans="1:5" ht="22.05" customHeight="1" x14ac:dyDescent="0.3">
      <c r="A4" s="63" t="s">
        <v>2</v>
      </c>
      <c r="B4" s="63"/>
      <c r="C4" s="63"/>
      <c r="D4" s="63"/>
      <c r="E4" s="63"/>
    </row>
    <row r="5" spans="1:5" ht="18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</row>
    <row r="6" spans="1:5" ht="18" customHeight="1" x14ac:dyDescent="0.3">
      <c r="A6" s="2" t="s">
        <v>8</v>
      </c>
      <c r="B6" s="3">
        <v>19900</v>
      </c>
      <c r="C6" s="3">
        <v>218900</v>
      </c>
      <c r="D6" s="4">
        <f>C6/12</f>
        <v>18241.666666666668</v>
      </c>
      <c r="E6" s="5">
        <f>1-D6/B6</f>
        <v>8.3333333333333259E-2</v>
      </c>
    </row>
    <row r="7" spans="1:5" ht="18" customHeight="1" x14ac:dyDescent="0.3">
      <c r="A7" s="2" t="s">
        <v>9</v>
      </c>
      <c r="B7" s="3">
        <v>149900</v>
      </c>
      <c r="C7" s="3">
        <v>1648900</v>
      </c>
      <c r="D7" s="4">
        <f>C7/12</f>
        <v>137408.33333333334</v>
      </c>
      <c r="E7" s="5">
        <f>1-D7/B7</f>
        <v>8.3333333333333259E-2</v>
      </c>
    </row>
    <row r="8" spans="1:5" ht="18" customHeight="1" x14ac:dyDescent="0.3">
      <c r="A8" s="2" t="s">
        <v>10</v>
      </c>
      <c r="B8" s="3">
        <v>249900</v>
      </c>
      <c r="C8" s="3">
        <v>2748900</v>
      </c>
      <c r="D8" s="4">
        <f>C8/12</f>
        <v>229075</v>
      </c>
      <c r="E8" s="5">
        <f>1-D8/B8</f>
        <v>8.333333333333337E-2</v>
      </c>
    </row>
    <row r="9" spans="1:5" ht="18" customHeight="1" x14ac:dyDescent="0.3">
      <c r="A9" s="2" t="s">
        <v>11</v>
      </c>
      <c r="B9" s="3">
        <v>0</v>
      </c>
      <c r="C9" s="3">
        <v>5000000</v>
      </c>
      <c r="D9" s="4">
        <f>C9/12</f>
        <v>416666.66666666669</v>
      </c>
      <c r="E9" s="6" t="s">
        <v>12</v>
      </c>
    </row>
    <row r="11" spans="1:5" ht="22.05" customHeight="1" x14ac:dyDescent="0.3">
      <c r="A11" s="63" t="s">
        <v>13</v>
      </c>
      <c r="B11" s="63"/>
      <c r="C11" s="63"/>
      <c r="D11" s="63"/>
      <c r="E11" s="63"/>
    </row>
    <row r="12" spans="1:5" ht="18" customHeight="1" x14ac:dyDescent="0.3">
      <c r="A12" s="1" t="s">
        <v>3</v>
      </c>
      <c r="B12" s="1" t="s">
        <v>14</v>
      </c>
      <c r="C12" s="1" t="s">
        <v>15</v>
      </c>
      <c r="D12" s="1" t="s">
        <v>16</v>
      </c>
      <c r="E12" s="1" t="s">
        <v>16</v>
      </c>
    </row>
    <row r="13" spans="1:5" ht="18" customHeight="1" x14ac:dyDescent="0.3">
      <c r="A13" s="2" t="s">
        <v>8</v>
      </c>
      <c r="B13" s="7">
        <v>0.6</v>
      </c>
      <c r="C13" s="4">
        <f>B13*B6</f>
        <v>11940</v>
      </c>
    </row>
    <row r="14" spans="1:5" ht="18" customHeight="1" x14ac:dyDescent="0.3">
      <c r="A14" s="2" t="s">
        <v>9</v>
      </c>
      <c r="B14" s="7">
        <v>0.25</v>
      </c>
      <c r="C14" s="4">
        <f>B14*B7</f>
        <v>37475</v>
      </c>
    </row>
    <row r="15" spans="1:5" ht="18" customHeight="1" x14ac:dyDescent="0.3">
      <c r="A15" s="2" t="s">
        <v>10</v>
      </c>
      <c r="B15" s="7">
        <v>0.12</v>
      </c>
      <c r="C15" s="4">
        <f>B15*B8</f>
        <v>29988</v>
      </c>
    </row>
    <row r="16" spans="1:5" ht="18" customHeight="1" x14ac:dyDescent="0.3">
      <c r="A16" s="2" t="s">
        <v>11</v>
      </c>
      <c r="B16" s="7">
        <v>0.03</v>
      </c>
      <c r="C16" s="4">
        <f>B16*C9</f>
        <v>150000</v>
      </c>
    </row>
    <row r="17" spans="1:5" ht="18" customHeight="1" x14ac:dyDescent="0.3">
      <c r="A17" s="8" t="s">
        <v>17</v>
      </c>
      <c r="B17" s="9">
        <f>SUM(B13:B16)</f>
        <v>1</v>
      </c>
    </row>
    <row r="18" spans="1:5" ht="22.05" customHeight="1" x14ac:dyDescent="0.3">
      <c r="A18" s="10" t="s">
        <v>18</v>
      </c>
      <c r="B18" s="11">
        <f>SUM(C13:C16)</f>
        <v>229403</v>
      </c>
    </row>
    <row r="20" spans="1:5" ht="22.05" customHeight="1" x14ac:dyDescent="0.3">
      <c r="A20" s="63" t="s">
        <v>19</v>
      </c>
      <c r="B20" s="63"/>
      <c r="C20" s="63"/>
      <c r="D20" s="63"/>
      <c r="E20" s="63"/>
    </row>
    <row r="21" spans="1:5" ht="18" customHeight="1" x14ac:dyDescent="0.3">
      <c r="A21" s="1" t="s">
        <v>12</v>
      </c>
      <c r="B21" s="1" t="s">
        <v>20</v>
      </c>
      <c r="C21" s="1" t="s">
        <v>21</v>
      </c>
      <c r="D21" s="1" t="s">
        <v>16</v>
      </c>
      <c r="E21" s="1" t="s">
        <v>16</v>
      </c>
    </row>
    <row r="22" spans="1:5" ht="18" customHeight="1" x14ac:dyDescent="0.3">
      <c r="A22" s="12" t="s">
        <v>22</v>
      </c>
      <c r="B22" s="13">
        <v>2500</v>
      </c>
      <c r="C22" s="14" t="s">
        <v>23</v>
      </c>
    </row>
    <row r="23" spans="1:5" ht="18" customHeight="1" x14ac:dyDescent="0.3">
      <c r="A23" s="12" t="s">
        <v>24</v>
      </c>
      <c r="B23" s="15">
        <v>7.0000000000000007E-2</v>
      </c>
      <c r="C23" s="14" t="s">
        <v>25</v>
      </c>
    </row>
    <row r="24" spans="1:5" ht="18" customHeight="1" x14ac:dyDescent="0.3">
      <c r="A24" s="12" t="s">
        <v>26</v>
      </c>
      <c r="B24" s="15">
        <v>0.08</v>
      </c>
      <c r="C24" s="14" t="s">
        <v>27</v>
      </c>
    </row>
    <row r="25" spans="1:5" ht="18" customHeight="1" x14ac:dyDescent="0.3">
      <c r="A25" s="2" t="s">
        <v>28</v>
      </c>
      <c r="B25" s="15">
        <v>0.04</v>
      </c>
      <c r="C25" s="14" t="s">
        <v>29</v>
      </c>
    </row>
    <row r="26" spans="1:5" ht="18" customHeight="1" x14ac:dyDescent="0.3">
      <c r="A26" s="12" t="s">
        <v>30</v>
      </c>
      <c r="B26" s="16">
        <v>0.85</v>
      </c>
      <c r="C26" s="14" t="s">
        <v>31</v>
      </c>
    </row>
    <row r="27" spans="1:5" ht="18" customHeight="1" x14ac:dyDescent="0.3">
      <c r="A27" s="2" t="s">
        <v>32</v>
      </c>
      <c r="B27" s="3">
        <v>400000</v>
      </c>
      <c r="C27" s="14" t="s">
        <v>33</v>
      </c>
    </row>
    <row r="28" spans="1:5" ht="18" customHeight="1" x14ac:dyDescent="0.3">
      <c r="A28" s="12" t="s">
        <v>34</v>
      </c>
      <c r="B28" s="17">
        <f>1/B25</f>
        <v>25</v>
      </c>
    </row>
    <row r="29" spans="1:5" ht="18" customHeight="1" x14ac:dyDescent="0.3">
      <c r="A29" s="8" t="s">
        <v>35</v>
      </c>
      <c r="B29" s="18">
        <f>B18*B26*B28</f>
        <v>4874813.75</v>
      </c>
    </row>
    <row r="30" spans="1:5" ht="18" customHeight="1" x14ac:dyDescent="0.3">
      <c r="A30" s="8" t="s">
        <v>36</v>
      </c>
      <c r="B30" s="19">
        <f>B29/B27</f>
        <v>12.187034375</v>
      </c>
    </row>
    <row r="31" spans="1:5" ht="18" customHeight="1" x14ac:dyDescent="0.3">
      <c r="A31" s="8" t="s">
        <v>37</v>
      </c>
      <c r="B31" s="20">
        <f>B27/(B18*B26)</f>
        <v>2.0513604237700362</v>
      </c>
    </row>
    <row r="33" spans="1:5" ht="22.05" customHeight="1" x14ac:dyDescent="0.3">
      <c r="A33" s="63" t="s">
        <v>38</v>
      </c>
      <c r="B33" s="63"/>
      <c r="C33" s="63"/>
      <c r="D33" s="63"/>
      <c r="E33" s="63"/>
    </row>
    <row r="34" spans="1:5" ht="18" customHeight="1" x14ac:dyDescent="0.3">
      <c r="A34" s="1" t="s">
        <v>39</v>
      </c>
      <c r="B34" s="1" t="s">
        <v>40</v>
      </c>
      <c r="C34" s="1" t="s">
        <v>41</v>
      </c>
      <c r="D34" s="1" t="s">
        <v>21</v>
      </c>
      <c r="E34" s="1" t="s">
        <v>16</v>
      </c>
    </row>
    <row r="35" spans="1:5" ht="18" customHeight="1" x14ac:dyDescent="0.3">
      <c r="A35" s="2" t="s">
        <v>42</v>
      </c>
      <c r="B35" s="21">
        <v>3800</v>
      </c>
      <c r="C35" s="12" t="s">
        <v>16</v>
      </c>
      <c r="D35" s="14" t="s">
        <v>43</v>
      </c>
    </row>
    <row r="36" spans="1:5" ht="18" customHeight="1" x14ac:dyDescent="0.3">
      <c r="A36" s="12" t="s">
        <v>44</v>
      </c>
      <c r="B36" s="4">
        <f>C36*B35</f>
        <v>76000</v>
      </c>
      <c r="C36" s="22">
        <v>20</v>
      </c>
      <c r="D36" s="14" t="s">
        <v>45</v>
      </c>
    </row>
    <row r="37" spans="1:5" ht="18" customHeight="1" x14ac:dyDescent="0.3">
      <c r="A37" s="12" t="s">
        <v>46</v>
      </c>
      <c r="B37" s="4">
        <f>C37*B35</f>
        <v>76000</v>
      </c>
      <c r="C37" s="22">
        <v>20</v>
      </c>
      <c r="D37" s="14" t="s">
        <v>45</v>
      </c>
    </row>
    <row r="38" spans="1:5" ht="18" customHeight="1" x14ac:dyDescent="0.3">
      <c r="A38" s="12" t="s">
        <v>47</v>
      </c>
      <c r="B38" s="4">
        <f>C38*B35</f>
        <v>76000</v>
      </c>
      <c r="C38" s="22">
        <v>20</v>
      </c>
      <c r="D38" s="14" t="s">
        <v>48</v>
      </c>
    </row>
    <row r="39" spans="1:5" ht="18" customHeight="1" x14ac:dyDescent="0.3">
      <c r="A39" s="12" t="s">
        <v>49</v>
      </c>
      <c r="B39" s="4">
        <f>C39*B35</f>
        <v>76000</v>
      </c>
      <c r="C39" s="22">
        <v>20</v>
      </c>
      <c r="D39" s="14" t="s">
        <v>50</v>
      </c>
    </row>
    <row r="40" spans="1:5" ht="18" customHeight="1" x14ac:dyDescent="0.3">
      <c r="A40" s="12" t="s">
        <v>51</v>
      </c>
      <c r="B40" s="3">
        <f>(60000/12)</f>
        <v>5000</v>
      </c>
      <c r="C40" s="12" t="s">
        <v>16</v>
      </c>
      <c r="D40" s="14" t="s">
        <v>52</v>
      </c>
    </row>
    <row r="41" spans="1:5" ht="18" customHeight="1" x14ac:dyDescent="0.3">
      <c r="A41" s="12" t="s">
        <v>53</v>
      </c>
      <c r="B41" s="3">
        <f>(70800/12)</f>
        <v>5900</v>
      </c>
      <c r="C41" s="12" t="s">
        <v>16</v>
      </c>
      <c r="D41" s="14" t="s">
        <v>54</v>
      </c>
    </row>
    <row r="42" spans="1:5" ht="18" customHeight="1" x14ac:dyDescent="0.3">
      <c r="A42" s="12" t="s">
        <v>55</v>
      </c>
      <c r="B42" s="3">
        <v>73400</v>
      </c>
      <c r="C42" s="12" t="s">
        <v>16</v>
      </c>
      <c r="D42" s="14" t="s">
        <v>56</v>
      </c>
    </row>
    <row r="43" spans="1:5" ht="18" customHeight="1" x14ac:dyDescent="0.3">
      <c r="A43" s="12" t="s">
        <v>57</v>
      </c>
      <c r="B43" s="3">
        <v>12417</v>
      </c>
      <c r="C43" s="12" t="s">
        <v>16</v>
      </c>
      <c r="D43" s="14" t="s">
        <v>58</v>
      </c>
    </row>
    <row r="44" spans="1:5" ht="18" customHeight="1" x14ac:dyDescent="0.3">
      <c r="A44" s="12" t="s">
        <v>59</v>
      </c>
      <c r="B44" s="3">
        <v>8333</v>
      </c>
      <c r="C44" s="12" t="s">
        <v>16</v>
      </c>
      <c r="D44" s="14" t="s">
        <v>60</v>
      </c>
    </row>
    <row r="45" spans="1:5" ht="18" customHeight="1" x14ac:dyDescent="0.3">
      <c r="A45" s="12" t="s">
        <v>61</v>
      </c>
      <c r="B45" s="3">
        <v>16667</v>
      </c>
      <c r="C45" s="12" t="s">
        <v>16</v>
      </c>
      <c r="D45" s="14" t="s">
        <v>62</v>
      </c>
    </row>
    <row r="46" spans="1:5" ht="19.95" customHeight="1" x14ac:dyDescent="0.3">
      <c r="A46" s="23" t="s">
        <v>63</v>
      </c>
      <c r="B46" s="11">
        <f>SUM(B36:B45)</f>
        <v>425717</v>
      </c>
    </row>
    <row r="48" spans="1:5" ht="22.05" customHeight="1" x14ac:dyDescent="0.3">
      <c r="A48" s="63" t="s">
        <v>64</v>
      </c>
      <c r="B48" s="63"/>
      <c r="C48" s="63"/>
      <c r="D48" s="63"/>
      <c r="E48" s="63"/>
    </row>
    <row r="49" spans="1:5" ht="18" customHeight="1" x14ac:dyDescent="0.3">
      <c r="A49" s="1" t="s">
        <v>12</v>
      </c>
      <c r="B49" s="1" t="s">
        <v>20</v>
      </c>
      <c r="C49" s="1" t="s">
        <v>16</v>
      </c>
      <c r="D49" s="1" t="s">
        <v>21</v>
      </c>
      <c r="E49" s="1" t="s">
        <v>16</v>
      </c>
    </row>
    <row r="50" spans="1:5" ht="18" customHeight="1" x14ac:dyDescent="0.3">
      <c r="A50" s="12" t="s">
        <v>65</v>
      </c>
      <c r="B50" s="22">
        <v>400</v>
      </c>
      <c r="D50" s="14" t="s">
        <v>66</v>
      </c>
    </row>
    <row r="51" spans="1:5" ht="18" customHeight="1" x14ac:dyDescent="0.3">
      <c r="A51" s="12" t="s">
        <v>67</v>
      </c>
      <c r="B51" s="22">
        <v>100</v>
      </c>
      <c r="D51" s="14" t="s">
        <v>68</v>
      </c>
    </row>
    <row r="52" spans="1:5" ht="18" customHeight="1" x14ac:dyDescent="0.3">
      <c r="A52" s="12" t="s">
        <v>69</v>
      </c>
      <c r="B52" s="13">
        <v>7</v>
      </c>
      <c r="D52" s="14" t="s">
        <v>70</v>
      </c>
    </row>
    <row r="53" spans="1:5" ht="18" customHeight="1" x14ac:dyDescent="0.3">
      <c r="A53" s="12" t="s">
        <v>71</v>
      </c>
      <c r="B53" s="3">
        <v>3500000</v>
      </c>
      <c r="D53" s="14" t="s">
        <v>72</v>
      </c>
    </row>
    <row r="54" spans="1:5" ht="18" customHeight="1" x14ac:dyDescent="0.3">
      <c r="A54" s="12" t="s">
        <v>73</v>
      </c>
      <c r="B54" s="24">
        <v>7.0000000000000001E-3</v>
      </c>
      <c r="D54" s="14" t="s">
        <v>74</v>
      </c>
    </row>
    <row r="55" spans="1:5" ht="18" customHeight="1" x14ac:dyDescent="0.3">
      <c r="A55" s="12" t="s">
        <v>75</v>
      </c>
      <c r="B55" s="3">
        <v>5000000</v>
      </c>
      <c r="D55" s="14" t="s">
        <v>76</v>
      </c>
    </row>
    <row r="57" spans="1:5" ht="22.05" customHeight="1" x14ac:dyDescent="0.3">
      <c r="A57" s="63" t="s">
        <v>77</v>
      </c>
      <c r="B57" s="63"/>
      <c r="C57" s="63"/>
      <c r="D57" s="63"/>
      <c r="E57" s="63"/>
    </row>
    <row r="58" spans="1:5" ht="18" customHeight="1" x14ac:dyDescent="0.3">
      <c r="A58" s="1" t="s">
        <v>78</v>
      </c>
      <c r="B58" s="1" t="s">
        <v>41</v>
      </c>
      <c r="C58" s="1" t="s">
        <v>40</v>
      </c>
      <c r="D58" s="1" t="s">
        <v>79</v>
      </c>
      <c r="E58" s="1" t="s">
        <v>80</v>
      </c>
    </row>
    <row r="59" spans="1:5" ht="18" customHeight="1" x14ac:dyDescent="0.3">
      <c r="A59" s="6">
        <v>1</v>
      </c>
      <c r="B59" s="25">
        <f>SUPUESTOS!B50+(1-1)*SUPUESTOS!B51</f>
        <v>400</v>
      </c>
      <c r="C59" s="4">
        <f>B59*SUPUESTOS!B35</f>
        <v>1520000</v>
      </c>
      <c r="D59" s="6" t="str">
        <f>IF(1&gt;=SUPUESTOS!B52,"Sí","No")</f>
        <v>No</v>
      </c>
      <c r="E59" s="4">
        <f>IF(1&gt;=SUPUESTOS!B52,SUPUESTOS!B53,0)</f>
        <v>0</v>
      </c>
    </row>
    <row r="60" spans="1:5" ht="18" customHeight="1" x14ac:dyDescent="0.3">
      <c r="A60" s="6">
        <v>2</v>
      </c>
      <c r="B60" s="25">
        <f>SUPUESTOS!B50+(2-1)*SUPUESTOS!B51</f>
        <v>500</v>
      </c>
      <c r="C60" s="4">
        <f>B60*SUPUESTOS!B35</f>
        <v>1900000</v>
      </c>
      <c r="D60" s="6" t="str">
        <f>IF(2&gt;=SUPUESTOS!B52,"Sí","No")</f>
        <v>No</v>
      </c>
      <c r="E60" s="4">
        <f>IF(2&gt;=SUPUESTOS!B52,SUPUESTOS!B53,0)</f>
        <v>0</v>
      </c>
    </row>
    <row r="61" spans="1:5" ht="18" customHeight="1" x14ac:dyDescent="0.3">
      <c r="A61" s="6">
        <v>3</v>
      </c>
      <c r="B61" s="25">
        <f>SUPUESTOS!B50+(3-1)*SUPUESTOS!B51</f>
        <v>600</v>
      </c>
      <c r="C61" s="4">
        <f>B61*SUPUESTOS!B35</f>
        <v>2280000</v>
      </c>
      <c r="D61" s="6" t="str">
        <f>IF(3&gt;=SUPUESTOS!B52,"Sí","No")</f>
        <v>No</v>
      </c>
      <c r="E61" s="4">
        <f>IF(3&gt;=SUPUESTOS!B52,SUPUESTOS!B53,0)</f>
        <v>0</v>
      </c>
    </row>
    <row r="62" spans="1:5" ht="18" customHeight="1" x14ac:dyDescent="0.3">
      <c r="A62" s="6">
        <v>4</v>
      </c>
      <c r="B62" s="25">
        <f>SUPUESTOS!B50+(4-1)*SUPUESTOS!B51</f>
        <v>700</v>
      </c>
      <c r="C62" s="4">
        <f>B62*SUPUESTOS!B35</f>
        <v>2660000</v>
      </c>
      <c r="D62" s="6" t="str">
        <f>IF(4&gt;=SUPUESTOS!B52,"Sí","No")</f>
        <v>No</v>
      </c>
      <c r="E62" s="4">
        <f>IF(4&gt;=SUPUESTOS!B52,SUPUESTOS!B53,0)</f>
        <v>0</v>
      </c>
    </row>
    <row r="63" spans="1:5" ht="18" customHeight="1" x14ac:dyDescent="0.3">
      <c r="A63" s="6">
        <v>5</v>
      </c>
      <c r="B63" s="25">
        <f>SUPUESTOS!B50+(5-1)*SUPUESTOS!B51</f>
        <v>800</v>
      </c>
      <c r="C63" s="4">
        <f>B63*SUPUESTOS!B35</f>
        <v>3040000</v>
      </c>
      <c r="D63" s="6" t="str">
        <f>IF(5&gt;=SUPUESTOS!B52,"Sí","No")</f>
        <v>No</v>
      </c>
      <c r="E63" s="4">
        <f>IF(5&gt;=SUPUESTOS!B52,SUPUESTOS!B53,0)</f>
        <v>0</v>
      </c>
    </row>
    <row r="64" spans="1:5" ht="18" customHeight="1" x14ac:dyDescent="0.3">
      <c r="A64" s="6">
        <v>6</v>
      </c>
      <c r="B64" s="25">
        <f>SUPUESTOS!B50+(6-1)*SUPUESTOS!B51</f>
        <v>900</v>
      </c>
      <c r="C64" s="4">
        <f>B64*SUPUESTOS!B35</f>
        <v>3420000</v>
      </c>
      <c r="D64" s="6" t="str">
        <f>IF(6&gt;=SUPUESTOS!B52,"Sí","No")</f>
        <v>No</v>
      </c>
      <c r="E64" s="4">
        <f>IF(6&gt;=SUPUESTOS!B52,SUPUESTOS!B53,0)</f>
        <v>0</v>
      </c>
    </row>
    <row r="65" spans="1:5" ht="18" customHeight="1" x14ac:dyDescent="0.3">
      <c r="A65" s="6">
        <v>7</v>
      </c>
      <c r="B65" s="25">
        <f>SUPUESTOS!B50+(7-1)*SUPUESTOS!B51</f>
        <v>1000</v>
      </c>
      <c r="C65" s="4">
        <f>B65*SUPUESTOS!B35</f>
        <v>3800000</v>
      </c>
      <c r="D65" s="6" t="str">
        <f>IF(7&gt;=SUPUESTOS!B52,"Sí","No")</f>
        <v>Sí</v>
      </c>
      <c r="E65" s="4">
        <f>IF(7&gt;=SUPUESTOS!B52,SUPUESTOS!B53,0)</f>
        <v>3500000</v>
      </c>
    </row>
    <row r="66" spans="1:5" ht="18" customHeight="1" x14ac:dyDescent="0.3">
      <c r="A66" s="6">
        <v>8</v>
      </c>
      <c r="B66" s="25">
        <f>SUPUESTOS!B50+(8-1)*SUPUESTOS!B51</f>
        <v>1100</v>
      </c>
      <c r="C66" s="4">
        <f>B66*SUPUESTOS!B35</f>
        <v>4180000</v>
      </c>
      <c r="D66" s="6" t="str">
        <f>IF(8&gt;=SUPUESTOS!B52,"Sí","No")</f>
        <v>Sí</v>
      </c>
      <c r="E66" s="4">
        <f>IF(8&gt;=SUPUESTOS!B52,SUPUESTOS!B53,0)</f>
        <v>3500000</v>
      </c>
    </row>
    <row r="67" spans="1:5" ht="18" customHeight="1" x14ac:dyDescent="0.3">
      <c r="A67" s="6">
        <v>9</v>
      </c>
      <c r="B67" s="25">
        <f>SUPUESTOS!B50+(9-1)*SUPUESTOS!B51</f>
        <v>1200</v>
      </c>
      <c r="C67" s="4">
        <f>B67*SUPUESTOS!B35</f>
        <v>4560000</v>
      </c>
      <c r="D67" s="6" t="str">
        <f>IF(9&gt;=SUPUESTOS!B52,"Sí","No")</f>
        <v>Sí</v>
      </c>
      <c r="E67" s="4">
        <f>IF(9&gt;=SUPUESTOS!B52,SUPUESTOS!B53,0)</f>
        <v>3500000</v>
      </c>
    </row>
    <row r="68" spans="1:5" ht="18" customHeight="1" x14ac:dyDescent="0.3">
      <c r="A68" s="6">
        <v>10</v>
      </c>
      <c r="B68" s="25">
        <f>SUPUESTOS!B50+(10-1)*SUPUESTOS!B51</f>
        <v>1300</v>
      </c>
      <c r="C68" s="4">
        <f>B68*SUPUESTOS!B35</f>
        <v>4940000</v>
      </c>
      <c r="D68" s="6" t="str">
        <f>IF(10&gt;=SUPUESTOS!B52,"Sí","No")</f>
        <v>Sí</v>
      </c>
      <c r="E68" s="4">
        <f>IF(10&gt;=SUPUESTOS!B52,SUPUESTOS!B53,0)</f>
        <v>3500000</v>
      </c>
    </row>
    <row r="69" spans="1:5" ht="18" customHeight="1" x14ac:dyDescent="0.3">
      <c r="A69" s="6">
        <v>11</v>
      </c>
      <c r="B69" s="25">
        <f>SUPUESTOS!B50+(11-1)*SUPUESTOS!B51</f>
        <v>1400</v>
      </c>
      <c r="C69" s="4">
        <f>B69*SUPUESTOS!B35</f>
        <v>5320000</v>
      </c>
      <c r="D69" s="6" t="str">
        <f>IF(11&gt;=SUPUESTOS!B52,"Sí","No")</f>
        <v>Sí</v>
      </c>
      <c r="E69" s="4">
        <f>IF(11&gt;=SUPUESTOS!B52,SUPUESTOS!B53,0)</f>
        <v>3500000</v>
      </c>
    </row>
    <row r="70" spans="1:5" ht="18" customHeight="1" x14ac:dyDescent="0.3">
      <c r="A70" s="6">
        <v>12</v>
      </c>
      <c r="B70" s="25">
        <f>SUPUESTOS!B50+(12-1)*SUPUESTOS!B51</f>
        <v>1500</v>
      </c>
      <c r="C70" s="4">
        <f>B70*SUPUESTOS!B35</f>
        <v>5700000</v>
      </c>
      <c r="D70" s="6" t="str">
        <f>IF(12&gt;=SUPUESTOS!B52,"Sí","No")</f>
        <v>Sí</v>
      </c>
      <c r="E70" s="4">
        <f>IF(12&gt;=SUPUESTOS!B52,SUPUESTOS!B53,0)</f>
        <v>3500000</v>
      </c>
    </row>
  </sheetData>
  <mergeCells count="8">
    <mergeCell ref="A33:E33"/>
    <mergeCell ref="A48:E48"/>
    <mergeCell ref="A57:E57"/>
    <mergeCell ref="A1:E1"/>
    <mergeCell ref="A2:E2"/>
    <mergeCell ref="A4:E4"/>
    <mergeCell ref="A11:E11"/>
    <mergeCell ref="A20:E2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355A1-27D5-42FA-A82A-8B05AD94921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7A4A"/>
  </sheetPr>
  <dimension ref="A1:M22"/>
  <sheetViews>
    <sheetView showGridLines="0" workbookViewId="0">
      <pane ySplit="4" topLeftCell="A5" activePane="bottomLeft" state="frozen"/>
      <selection pane="bottomLeft" activeCell="K20" sqref="K20"/>
    </sheetView>
  </sheetViews>
  <sheetFormatPr baseColWidth="10" defaultColWidth="8.88671875" defaultRowHeight="14.4" x14ac:dyDescent="0.3"/>
  <cols>
    <col min="1" max="1" width="28" customWidth="1"/>
    <col min="2" max="2" width="6" customWidth="1"/>
    <col min="3" max="3" width="14" customWidth="1"/>
    <col min="4" max="9" width="18" customWidth="1"/>
    <col min="10" max="10" width="20" customWidth="1"/>
    <col min="11" max="11" width="11.44140625" bestFit="1" customWidth="1"/>
  </cols>
  <sheetData>
    <row r="1" spans="1:10" ht="30" customHeight="1" x14ac:dyDescent="0.3">
      <c r="A1" s="64" t="s">
        <v>81</v>
      </c>
      <c r="B1" s="64"/>
      <c r="C1" s="64"/>
      <c r="D1" s="64"/>
      <c r="E1" s="64"/>
      <c r="F1" s="64"/>
      <c r="G1" s="64"/>
      <c r="H1" s="64"/>
      <c r="I1" s="64"/>
      <c r="J1" s="64"/>
    </row>
    <row r="2" spans="1:10" ht="18" customHeight="1" x14ac:dyDescent="0.3">
      <c r="A2" s="65" t="s">
        <v>82</v>
      </c>
      <c r="B2" s="65"/>
      <c r="C2" s="65"/>
      <c r="D2" s="65"/>
      <c r="E2" s="65"/>
      <c r="F2" s="65"/>
      <c r="G2" s="65"/>
      <c r="H2" s="65"/>
      <c r="I2" s="65"/>
      <c r="J2" s="65"/>
    </row>
    <row r="4" spans="1:10" ht="22.05" customHeight="1" x14ac:dyDescent="0.3">
      <c r="A4" s="26" t="s">
        <v>16</v>
      </c>
      <c r="B4" s="26" t="s">
        <v>78</v>
      </c>
      <c r="C4" s="26" t="s">
        <v>83</v>
      </c>
      <c r="D4" s="26" t="s">
        <v>84</v>
      </c>
      <c r="E4" s="26" t="s">
        <v>85</v>
      </c>
      <c r="F4" s="26" t="s">
        <v>86</v>
      </c>
      <c r="G4" s="26" t="s">
        <v>87</v>
      </c>
      <c r="H4" s="26" t="s">
        <v>88</v>
      </c>
      <c r="I4" s="26" t="s">
        <v>89</v>
      </c>
      <c r="J4" s="26" t="s">
        <v>90</v>
      </c>
    </row>
    <row r="5" spans="1:10" ht="19.95" customHeight="1" x14ac:dyDescent="0.3">
      <c r="A5" s="27" t="s">
        <v>91</v>
      </c>
      <c r="B5" s="28">
        <v>1</v>
      </c>
      <c r="C5" s="29">
        <f>ROUND((SUPUESTOS!B50+(1-1)*SUPUESTOS!B51)*SUPUESTOS!B35/SUPUESTOS!B27,0)</f>
        <v>4</v>
      </c>
      <c r="D5" s="29">
        <f>C5</f>
        <v>4</v>
      </c>
      <c r="E5" s="30">
        <f>D5*SUPUESTOS!B18</f>
        <v>917612</v>
      </c>
      <c r="F5" s="30">
        <f>(SUPUESTOS!B50+(1-1)*SUPUESTOS!B51)*SUPUESTOS!B35</f>
        <v>1520000</v>
      </c>
      <c r="G5" s="30">
        <f>IF(1&gt;=SUPUESTOS!B52,SUPUESTOS!B53,0)</f>
        <v>0</v>
      </c>
      <c r="H5" s="30">
        <f>SUPUESTOS!B46+IF(E5&gt;SUPUESTOS!B55,(E5-SUPUESTOS!B55)*SUPUESTOS!B54,0)</f>
        <v>425717</v>
      </c>
      <c r="I5" s="31">
        <f t="shared" ref="I5:I16" si="0">F5+G5+H5</f>
        <v>1945717</v>
      </c>
      <c r="J5" s="32">
        <f t="shared" ref="J5:J16" si="1">E5-I5</f>
        <v>-1028105</v>
      </c>
    </row>
    <row r="6" spans="1:10" ht="19.95" customHeight="1" x14ac:dyDescent="0.3">
      <c r="A6" s="33" t="s">
        <v>92</v>
      </c>
      <c r="B6" s="34">
        <v>2</v>
      </c>
      <c r="C6" s="35">
        <f>ROUND((SUPUESTOS!B50+(2-1)*SUPUESTOS!B51)*SUPUESTOS!B35/SUPUESTOS!B27,0)</f>
        <v>5</v>
      </c>
      <c r="D6" s="35">
        <f>ROUND(D5*(1-SUPUESTOS!B25)+C6,0)</f>
        <v>9</v>
      </c>
      <c r="E6" s="36">
        <f>D6*SUPUESTOS!B18</f>
        <v>2064627</v>
      </c>
      <c r="F6" s="36">
        <f>(SUPUESTOS!B50+(2-1)*SUPUESTOS!B51)*SUPUESTOS!B35</f>
        <v>1900000</v>
      </c>
      <c r="G6" s="36">
        <f>IF(2&gt;=SUPUESTOS!B52,SUPUESTOS!B53,0)</f>
        <v>0</v>
      </c>
      <c r="H6" s="36">
        <f>SUPUESTOS!B46+IF(E6&gt;SUPUESTOS!B55,(E6-SUPUESTOS!B55)*SUPUESTOS!B54,0)</f>
        <v>425717</v>
      </c>
      <c r="I6" s="37">
        <f t="shared" si="0"/>
        <v>2325717</v>
      </c>
      <c r="J6" s="32">
        <f t="shared" si="1"/>
        <v>-261090</v>
      </c>
    </row>
    <row r="7" spans="1:10" ht="19.95" customHeight="1" x14ac:dyDescent="0.3">
      <c r="A7" s="27" t="s">
        <v>93</v>
      </c>
      <c r="B7" s="28">
        <v>3</v>
      </c>
      <c r="C7" s="29">
        <f>ROUND((SUPUESTOS!B50+(3-1)*SUPUESTOS!B51)*SUPUESTOS!B35/SUPUESTOS!B27,0)</f>
        <v>6</v>
      </c>
      <c r="D7" s="29">
        <f>ROUND(D6*(1-SUPUESTOS!B25)+C7,0)</f>
        <v>15</v>
      </c>
      <c r="E7" s="30">
        <f>D7*SUPUESTOS!B18</f>
        <v>3441045</v>
      </c>
      <c r="F7" s="30">
        <f>(SUPUESTOS!B50+(3-1)*SUPUESTOS!B51)*SUPUESTOS!B35</f>
        <v>2280000</v>
      </c>
      <c r="G7" s="30">
        <f>IF(3&gt;=SUPUESTOS!B52,SUPUESTOS!B53,0)</f>
        <v>0</v>
      </c>
      <c r="H7" s="30">
        <f>SUPUESTOS!B46+IF(E7&gt;SUPUESTOS!B55,(E7-SUPUESTOS!B55)*SUPUESTOS!B54,0)</f>
        <v>425717</v>
      </c>
      <c r="I7" s="31">
        <f t="shared" si="0"/>
        <v>2705717</v>
      </c>
      <c r="J7" s="32">
        <f t="shared" si="1"/>
        <v>735328</v>
      </c>
    </row>
    <row r="8" spans="1:10" ht="19.95" customHeight="1" x14ac:dyDescent="0.3">
      <c r="A8" s="33" t="s">
        <v>94</v>
      </c>
      <c r="B8" s="34">
        <v>4</v>
      </c>
      <c r="C8" s="35">
        <f>ROUND((SUPUESTOS!B50+(4-1)*SUPUESTOS!B51)*SUPUESTOS!B35/SUPUESTOS!B27,0)</f>
        <v>7</v>
      </c>
      <c r="D8" s="35">
        <f>ROUND(D7*(1-SUPUESTOS!B25)+C8,0)</f>
        <v>21</v>
      </c>
      <c r="E8" s="36">
        <f>D8*SUPUESTOS!B18</f>
        <v>4817463</v>
      </c>
      <c r="F8" s="36">
        <f>(SUPUESTOS!B50+(4-1)*SUPUESTOS!B51)*SUPUESTOS!B35</f>
        <v>2660000</v>
      </c>
      <c r="G8" s="36">
        <f>IF(4&gt;=SUPUESTOS!B52,SUPUESTOS!B53,0)</f>
        <v>0</v>
      </c>
      <c r="H8" s="36">
        <f>SUPUESTOS!B46+IF(E8&gt;SUPUESTOS!B55,(E8-SUPUESTOS!B55)*SUPUESTOS!B54,0)</f>
        <v>425717</v>
      </c>
      <c r="I8" s="37">
        <f t="shared" si="0"/>
        <v>3085717</v>
      </c>
      <c r="J8" s="32">
        <f t="shared" si="1"/>
        <v>1731746</v>
      </c>
    </row>
    <row r="9" spans="1:10" ht="19.95" customHeight="1" x14ac:dyDescent="0.3">
      <c r="A9" s="27" t="s">
        <v>95</v>
      </c>
      <c r="B9" s="28">
        <v>5</v>
      </c>
      <c r="C9" s="29">
        <f>ROUND((SUPUESTOS!B50+(5-1)*SUPUESTOS!B51)*SUPUESTOS!B35/SUPUESTOS!B27,0)</f>
        <v>8</v>
      </c>
      <c r="D9" s="29">
        <f>ROUND(D8*(1-SUPUESTOS!B25)+C9,0)</f>
        <v>28</v>
      </c>
      <c r="E9" s="30">
        <f>D9*SUPUESTOS!B18</f>
        <v>6423284</v>
      </c>
      <c r="F9" s="30">
        <f>(SUPUESTOS!B50+(5-1)*SUPUESTOS!B51)*SUPUESTOS!B35</f>
        <v>3040000</v>
      </c>
      <c r="G9" s="30">
        <f>IF(5&gt;=SUPUESTOS!B52,SUPUESTOS!B53,0)</f>
        <v>0</v>
      </c>
      <c r="H9" s="30">
        <f>SUPUESTOS!B46+IF(E9&gt;SUPUESTOS!B55,(E9-SUPUESTOS!B55)*SUPUESTOS!B54,0)</f>
        <v>435679.98800000001</v>
      </c>
      <c r="I9" s="31">
        <f t="shared" si="0"/>
        <v>3475679.9879999999</v>
      </c>
      <c r="J9" s="32">
        <f t="shared" si="1"/>
        <v>2947604.0120000001</v>
      </c>
    </row>
    <row r="10" spans="1:10" ht="19.95" customHeight="1" x14ac:dyDescent="0.3">
      <c r="A10" s="33" t="s">
        <v>96</v>
      </c>
      <c r="B10" s="34">
        <v>6</v>
      </c>
      <c r="C10" s="35">
        <f>ROUND((SUPUESTOS!B50+(6-1)*SUPUESTOS!B51)*SUPUESTOS!B35/SUPUESTOS!B27,0)</f>
        <v>9</v>
      </c>
      <c r="D10" s="35">
        <f>ROUND(D9*(1-SUPUESTOS!B25)+C10,0)</f>
        <v>36</v>
      </c>
      <c r="E10" s="36">
        <f>D10*SUPUESTOS!B18</f>
        <v>8258508</v>
      </c>
      <c r="F10" s="36">
        <f>(SUPUESTOS!B50+(6-1)*SUPUESTOS!B51)*SUPUESTOS!B35</f>
        <v>3420000</v>
      </c>
      <c r="G10" s="36">
        <f>IF(6&gt;=SUPUESTOS!B52,SUPUESTOS!B53,0)</f>
        <v>0</v>
      </c>
      <c r="H10" s="36">
        <f>SUPUESTOS!B46+IF(E10&gt;SUPUESTOS!B55,(E10-SUPUESTOS!B55)*SUPUESTOS!B54,0)</f>
        <v>448526.55599999998</v>
      </c>
      <c r="I10" s="37">
        <f t="shared" si="0"/>
        <v>3868526.5559999999</v>
      </c>
      <c r="J10" s="32">
        <f t="shared" si="1"/>
        <v>4389981.4440000001</v>
      </c>
    </row>
    <row r="11" spans="1:10" ht="19.95" customHeight="1" x14ac:dyDescent="0.3">
      <c r="A11" s="27" t="s">
        <v>97</v>
      </c>
      <c r="B11" s="28">
        <v>7</v>
      </c>
      <c r="C11" s="29">
        <f>ROUND((SUPUESTOS!B50+(7-1)*SUPUESTOS!B51)*SUPUESTOS!B35/SUPUESTOS!B27,0)</f>
        <v>10</v>
      </c>
      <c r="D11" s="29">
        <f>ROUND(D10*(1-SUPUESTOS!B25)+C11,0)</f>
        <v>45</v>
      </c>
      <c r="E11" s="30">
        <f>D11*SUPUESTOS!B18</f>
        <v>10323135</v>
      </c>
      <c r="F11" s="30">
        <f>(SUPUESTOS!B50+(7-1)*SUPUESTOS!B51)*SUPUESTOS!B35</f>
        <v>3800000</v>
      </c>
      <c r="G11" s="30">
        <f>IF(7&gt;=SUPUESTOS!B52,SUPUESTOS!B53,0)</f>
        <v>3500000</v>
      </c>
      <c r="H11" s="30">
        <f>SUPUESTOS!B46+IF(E11&gt;SUPUESTOS!B55,(E11-SUPUESTOS!B55)*SUPUESTOS!B54,0)</f>
        <v>462978.94500000001</v>
      </c>
      <c r="I11" s="31">
        <f t="shared" si="0"/>
        <v>7762978.9450000003</v>
      </c>
      <c r="J11" s="32">
        <f t="shared" si="1"/>
        <v>2560156.0549999997</v>
      </c>
    </row>
    <row r="12" spans="1:10" ht="19.95" customHeight="1" x14ac:dyDescent="0.3">
      <c r="A12" s="33" t="s">
        <v>98</v>
      </c>
      <c r="B12" s="34">
        <v>8</v>
      </c>
      <c r="C12" s="35">
        <f>ROUND((SUPUESTOS!B50+(8-1)*SUPUESTOS!B51)*SUPUESTOS!B35/SUPUESTOS!B27,0)</f>
        <v>10</v>
      </c>
      <c r="D12" s="35">
        <f>ROUND(D11*(1-SUPUESTOS!B25)+C12,0)</f>
        <v>53</v>
      </c>
      <c r="E12" s="36">
        <f>D12*SUPUESTOS!B18</f>
        <v>12158359</v>
      </c>
      <c r="F12" s="36">
        <f>(SUPUESTOS!B50+(8-1)*SUPUESTOS!B51)*SUPUESTOS!B35</f>
        <v>4180000</v>
      </c>
      <c r="G12" s="36">
        <f>IF(8&gt;=SUPUESTOS!B52,SUPUESTOS!B53,0)</f>
        <v>3500000</v>
      </c>
      <c r="H12" s="36">
        <f>SUPUESTOS!B46+IF(E12&gt;SUPUESTOS!B55,(E12-SUPUESTOS!B55)*SUPUESTOS!B54,0)</f>
        <v>475825.51299999998</v>
      </c>
      <c r="I12" s="37">
        <f t="shared" si="0"/>
        <v>8155825.5130000003</v>
      </c>
      <c r="J12" s="32">
        <f t="shared" si="1"/>
        <v>4002533.4869999997</v>
      </c>
    </row>
    <row r="13" spans="1:10" ht="19.95" customHeight="1" x14ac:dyDescent="0.3">
      <c r="A13" s="27" t="s">
        <v>99</v>
      </c>
      <c r="B13" s="28">
        <v>9</v>
      </c>
      <c r="C13" s="29">
        <f>ROUND((SUPUESTOS!B50+(9-1)*SUPUESTOS!B51)*SUPUESTOS!B35/SUPUESTOS!B27,0)</f>
        <v>11</v>
      </c>
      <c r="D13" s="29">
        <f>ROUND(D12*(1-SUPUESTOS!B25)+C13,0)</f>
        <v>62</v>
      </c>
      <c r="E13" s="30">
        <f>D13*SUPUESTOS!B18</f>
        <v>14222986</v>
      </c>
      <c r="F13" s="30">
        <f>(SUPUESTOS!B50+(9-1)*SUPUESTOS!B51)*SUPUESTOS!B35</f>
        <v>4560000</v>
      </c>
      <c r="G13" s="30">
        <f>IF(9&gt;=SUPUESTOS!B52,SUPUESTOS!B53,0)</f>
        <v>3500000</v>
      </c>
      <c r="H13" s="30">
        <f>SUPUESTOS!B46+IF(E13&gt;SUPUESTOS!B55,(E13-SUPUESTOS!B55)*SUPUESTOS!B54,0)</f>
        <v>490277.902</v>
      </c>
      <c r="I13" s="31">
        <f t="shared" si="0"/>
        <v>8550277.9020000007</v>
      </c>
      <c r="J13" s="32">
        <f t="shared" si="1"/>
        <v>5672708.0979999993</v>
      </c>
    </row>
    <row r="14" spans="1:10" ht="19.95" customHeight="1" x14ac:dyDescent="0.3">
      <c r="A14" s="38" t="s">
        <v>100</v>
      </c>
      <c r="B14" s="34">
        <v>10</v>
      </c>
      <c r="C14" s="35">
        <f>ROUND((SUPUESTOS!B50+(10-1)*SUPUESTOS!B51)*SUPUESTOS!B35/SUPUESTOS!B27,0)</f>
        <v>12</v>
      </c>
      <c r="D14" s="35">
        <f>ROUND(D13*(1-SUPUESTOS!B25)+C14,0)</f>
        <v>72</v>
      </c>
      <c r="E14" s="36">
        <f>D14*SUPUESTOS!B18</f>
        <v>16517016</v>
      </c>
      <c r="F14" s="36">
        <f>(SUPUESTOS!B50+(10-1)*SUPUESTOS!B51)*SUPUESTOS!B35</f>
        <v>4940000</v>
      </c>
      <c r="G14" s="36">
        <f>IF(10&gt;=SUPUESTOS!B52,SUPUESTOS!B53,0)</f>
        <v>3500000</v>
      </c>
      <c r="H14" s="36">
        <f>SUPUESTOS!B46+IF(E14&gt;SUPUESTOS!B55,(E14-SUPUESTOS!B55)*SUPUESTOS!B54,0)</f>
        <v>506336.11200000002</v>
      </c>
      <c r="I14" s="37">
        <f t="shared" si="0"/>
        <v>8946336.1119999997</v>
      </c>
      <c r="J14" s="32">
        <f t="shared" si="1"/>
        <v>7570679.8880000003</v>
      </c>
    </row>
    <row r="15" spans="1:10" ht="19.95" customHeight="1" x14ac:dyDescent="0.3">
      <c r="A15" s="39" t="s">
        <v>101</v>
      </c>
      <c r="B15" s="28">
        <v>11</v>
      </c>
      <c r="C15" s="29">
        <f>ROUND((SUPUESTOS!B50+(11-1)*SUPUESTOS!B51)*SUPUESTOS!B35/SUPUESTOS!B27,0)</f>
        <v>13</v>
      </c>
      <c r="D15" s="29">
        <f>ROUND(D14*(1-SUPUESTOS!B25)+C15,0)</f>
        <v>82</v>
      </c>
      <c r="E15" s="30">
        <f>D15*SUPUESTOS!B18</f>
        <v>18811046</v>
      </c>
      <c r="F15" s="30">
        <f>(SUPUESTOS!B50+(11-1)*SUPUESTOS!B51)*SUPUESTOS!B35</f>
        <v>5320000</v>
      </c>
      <c r="G15" s="30">
        <f>IF(11&gt;=SUPUESTOS!B52,SUPUESTOS!B53,0)</f>
        <v>3500000</v>
      </c>
      <c r="H15" s="30">
        <f>SUPUESTOS!B46+IF(E15&gt;SUPUESTOS!B55,(E15-SUPUESTOS!B55)*SUPUESTOS!B54,0)</f>
        <v>522394.32199999999</v>
      </c>
      <c r="I15" s="31">
        <f t="shared" si="0"/>
        <v>9342394.3220000006</v>
      </c>
      <c r="J15" s="40">
        <f t="shared" si="1"/>
        <v>9468651.6779999994</v>
      </c>
    </row>
    <row r="16" spans="1:10" ht="19.95" customHeight="1" x14ac:dyDescent="0.3">
      <c r="A16" s="38" t="s">
        <v>102</v>
      </c>
      <c r="B16" s="34">
        <v>12</v>
      </c>
      <c r="C16" s="35">
        <f>ROUND((SUPUESTOS!B50+(12-1)*SUPUESTOS!B51)*SUPUESTOS!B35/SUPUESTOS!B27,0)</f>
        <v>14</v>
      </c>
      <c r="D16" s="35">
        <f>ROUND(D15*(1-SUPUESTOS!B25)+C16,0)</f>
        <v>93</v>
      </c>
      <c r="E16" s="36">
        <f>D16*SUPUESTOS!B18</f>
        <v>21334479</v>
      </c>
      <c r="F16" s="36">
        <f>(SUPUESTOS!B50+(12-1)*SUPUESTOS!B51)*SUPUESTOS!B35</f>
        <v>5700000</v>
      </c>
      <c r="G16" s="36">
        <f>IF(12&gt;=SUPUESTOS!B52,SUPUESTOS!B53,0)</f>
        <v>3500000</v>
      </c>
      <c r="H16" s="36">
        <f>SUPUESTOS!B46+IF(E16&gt;SUPUESTOS!B55,(E16-SUPUESTOS!B55)*SUPUESTOS!B54,0)</f>
        <v>540058.353</v>
      </c>
      <c r="I16" s="37">
        <f t="shared" si="0"/>
        <v>9740058.3530000001</v>
      </c>
      <c r="J16" s="40">
        <f t="shared" si="1"/>
        <v>11594420.647</v>
      </c>
    </row>
    <row r="18" spans="1:13" ht="24" customHeight="1" x14ac:dyDescent="0.3">
      <c r="A18" s="41" t="s">
        <v>103</v>
      </c>
      <c r="B18" s="42" t="s">
        <v>16</v>
      </c>
      <c r="C18" s="43">
        <f>SUM(C5:C16)</f>
        <v>109</v>
      </c>
      <c r="D18" s="42" t="s">
        <v>16</v>
      </c>
      <c r="E18" s="44">
        <f t="shared" ref="E18:J18" si="2">SUM(E5:E16)</f>
        <v>119289560</v>
      </c>
      <c r="F18" s="44">
        <f t="shared" si="2"/>
        <v>43320000</v>
      </c>
      <c r="G18" s="44">
        <f t="shared" si="2"/>
        <v>21000000</v>
      </c>
      <c r="H18" s="44">
        <f t="shared" si="2"/>
        <v>5584945.6909999987</v>
      </c>
      <c r="I18" s="44">
        <f t="shared" si="2"/>
        <v>69904945.691</v>
      </c>
      <c r="J18" s="32">
        <f t="shared" si="2"/>
        <v>49384614.309</v>
      </c>
    </row>
    <row r="20" spans="1:13" ht="22.05" customHeight="1" x14ac:dyDescent="0.3">
      <c r="A20" s="45" t="s">
        <v>104</v>
      </c>
      <c r="B20" s="32">
        <f>J5</f>
        <v>-1028105</v>
      </c>
      <c r="C20" s="32">
        <f ca="1">C20+J6</f>
        <v>-3777000</v>
      </c>
      <c r="D20" s="32">
        <f ca="1">D20+J7</f>
        <v>-5478000</v>
      </c>
      <c r="E20" s="32">
        <f ca="1">E20+J8</f>
        <v>-7038000</v>
      </c>
      <c r="F20" s="32">
        <f ca="1">F20+J9</f>
        <v>-8181000</v>
      </c>
      <c r="G20" s="32">
        <f ca="1">G20+J10</f>
        <v>-8723000</v>
      </c>
      <c r="H20" s="32">
        <f ca="1">H20+J11</f>
        <v>-12072000</v>
      </c>
      <c r="I20" s="32">
        <f ca="1">I20+J12</f>
        <v>-14452000</v>
      </c>
      <c r="J20" s="32">
        <f ca="1">J20+J13</f>
        <v>-15588000</v>
      </c>
      <c r="K20" s="32" t="e">
        <f>undefined20+J14</f>
        <v>#NAME?</v>
      </c>
      <c r="L20" s="32" t="e">
        <f>undefined20+J15</f>
        <v>#NAME?</v>
      </c>
      <c r="M20" s="32" t="e">
        <f>undefined20+J16</f>
        <v>#NAME?</v>
      </c>
    </row>
    <row r="22" spans="1:13" ht="24" customHeight="1" x14ac:dyDescent="0.3">
      <c r="A22" s="66" t="str">
        <f>"ARR run-rate fin Año 1 (COP): " &amp; TEXT(D16*SUPUESTOS!B18*12,"#,##0")</f>
        <v>ARR run-rate fin Año 1 (COP): 256013748,0</v>
      </c>
      <c r="B22" s="66"/>
      <c r="C22" s="66"/>
      <c r="D22" s="66"/>
      <c r="E22" s="66"/>
    </row>
  </sheetData>
  <mergeCells count="3">
    <mergeCell ref="A1:J1"/>
    <mergeCell ref="A2:J2"/>
    <mergeCell ref="A22:E22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39C12"/>
  </sheetPr>
  <dimension ref="A1:H19"/>
  <sheetViews>
    <sheetView showGridLines="0" workbookViewId="0">
      <selection sqref="A1:H1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16" customWidth="1"/>
    <col min="4" max="4" width="18" customWidth="1"/>
    <col min="5" max="5" width="16" customWidth="1"/>
    <col min="6" max="7" width="18" customWidth="1"/>
    <col min="8" max="8" width="20" customWidth="1"/>
  </cols>
  <sheetData>
    <row r="1" spans="1:8" ht="30" customHeight="1" x14ac:dyDescent="0.3">
      <c r="A1" s="64" t="s">
        <v>105</v>
      </c>
      <c r="B1" s="64"/>
      <c r="C1" s="64"/>
      <c r="D1" s="64"/>
      <c r="E1" s="64"/>
      <c r="F1" s="64"/>
      <c r="G1" s="64"/>
      <c r="H1" s="64"/>
    </row>
    <row r="3" spans="1:8" ht="22.05" customHeight="1" x14ac:dyDescent="0.3">
      <c r="A3" s="26" t="s">
        <v>106</v>
      </c>
      <c r="B3" s="26" t="s">
        <v>107</v>
      </c>
      <c r="C3" s="26" t="s">
        <v>108</v>
      </c>
      <c r="D3" s="26" t="s">
        <v>109</v>
      </c>
      <c r="E3" s="26" t="s">
        <v>110</v>
      </c>
      <c r="F3" s="26" t="s">
        <v>111</v>
      </c>
      <c r="G3" s="26" t="s">
        <v>112</v>
      </c>
      <c r="H3" s="26" t="s">
        <v>21</v>
      </c>
    </row>
    <row r="4" spans="1:8" ht="19.95" customHeight="1" x14ac:dyDescent="0.3">
      <c r="A4" s="67" t="s">
        <v>113</v>
      </c>
      <c r="B4" s="67"/>
      <c r="C4" s="67"/>
      <c r="D4" s="7">
        <v>0.05</v>
      </c>
    </row>
    <row r="5" spans="1:8" ht="19.95" customHeight="1" x14ac:dyDescent="0.3">
      <c r="A5" s="67" t="s">
        <v>114</v>
      </c>
      <c r="B5" s="67"/>
      <c r="C5" s="67"/>
      <c r="D5" s="7">
        <v>1.84</v>
      </c>
    </row>
    <row r="6" spans="1:8" ht="18" customHeight="1" x14ac:dyDescent="0.3">
      <c r="A6" s="68" t="s">
        <v>115</v>
      </c>
      <c r="B6" s="68"/>
      <c r="C6" s="68"/>
      <c r="D6" s="68"/>
      <c r="E6" s="68"/>
      <c r="F6" s="68"/>
      <c r="G6" s="68"/>
      <c r="H6" s="68"/>
    </row>
    <row r="8" spans="1:8" ht="22.05" customHeight="1" x14ac:dyDescent="0.3">
      <c r="A8" s="46" t="s">
        <v>116</v>
      </c>
      <c r="B8" s="47">
        <v>148</v>
      </c>
      <c r="C8" s="4">
        <f>SUPUESTOS!B18</f>
        <v>229403</v>
      </c>
      <c r="D8" s="48">
        <f>B8*C8*12</f>
        <v>407419728</v>
      </c>
      <c r="E8" s="7">
        <v>-0.17</v>
      </c>
      <c r="F8" s="32">
        <f>D8*E8</f>
        <v>-69261353.760000005</v>
      </c>
      <c r="G8" s="4">
        <f>B8*C8*12</f>
        <v>407419728</v>
      </c>
      <c r="H8" s="14" t="s">
        <v>117</v>
      </c>
    </row>
    <row r="9" spans="1:8" ht="22.05" customHeight="1" x14ac:dyDescent="0.3">
      <c r="A9" s="46" t="s">
        <v>118</v>
      </c>
      <c r="B9" s="47">
        <v>420</v>
      </c>
      <c r="C9" s="4">
        <f>C8*(1+$D$4)</f>
        <v>240873.15000000002</v>
      </c>
      <c r="D9" s="48">
        <f>B9*C9*12</f>
        <v>1214000676.0000002</v>
      </c>
      <c r="E9" s="7">
        <v>0.1</v>
      </c>
      <c r="F9" s="40">
        <f>D9*E9</f>
        <v>121400067.60000002</v>
      </c>
      <c r="G9" s="4">
        <f>B9*C9*12</f>
        <v>1214000676.0000002</v>
      </c>
      <c r="H9" s="14" t="s">
        <v>119</v>
      </c>
    </row>
    <row r="10" spans="1:8" ht="22.05" customHeight="1" x14ac:dyDescent="0.3">
      <c r="A10" s="46" t="s">
        <v>120</v>
      </c>
      <c r="B10" s="47">
        <v>850</v>
      </c>
      <c r="C10" s="4">
        <f>C9*(1+$D$4)</f>
        <v>252916.80750000002</v>
      </c>
      <c r="D10" s="48">
        <f>B10*C10*12</f>
        <v>2579751436.5000005</v>
      </c>
      <c r="E10" s="7">
        <v>0.2</v>
      </c>
      <c r="F10" s="40">
        <f>D10*E10</f>
        <v>515950287.30000013</v>
      </c>
      <c r="G10" s="4">
        <f>B10*C10*12</f>
        <v>2579751436.5000005</v>
      </c>
      <c r="H10" s="14" t="s">
        <v>16</v>
      </c>
    </row>
    <row r="11" spans="1:8" ht="22.05" customHeight="1" x14ac:dyDescent="0.3">
      <c r="A11" s="46" t="s">
        <v>121</v>
      </c>
      <c r="B11" s="47">
        <v>1450</v>
      </c>
      <c r="C11" s="4">
        <f>C10*(1+$D$4)</f>
        <v>265562.64787500002</v>
      </c>
      <c r="D11" s="48">
        <f>B11*C11*12</f>
        <v>4620790073.0250006</v>
      </c>
      <c r="E11" s="7">
        <v>0.28000000000000003</v>
      </c>
      <c r="F11" s="40">
        <f>D11*E11</f>
        <v>1293821220.4470003</v>
      </c>
      <c r="G11" s="4">
        <f>B11*C11*12</f>
        <v>4620790073.0250006</v>
      </c>
      <c r="H11" s="14" t="s">
        <v>16</v>
      </c>
    </row>
    <row r="12" spans="1:8" ht="22.05" customHeight="1" x14ac:dyDescent="0.3">
      <c r="A12" s="46" t="s">
        <v>122</v>
      </c>
      <c r="B12" s="47">
        <v>2200</v>
      </c>
      <c r="C12" s="4">
        <f>C11*(1+$D$4)</f>
        <v>278840.78026875004</v>
      </c>
      <c r="D12" s="48">
        <f>B12*C12*12</f>
        <v>7361396599.0950012</v>
      </c>
      <c r="E12" s="7">
        <v>0.32</v>
      </c>
      <c r="F12" s="40">
        <f>D12*E12</f>
        <v>2355646911.7104006</v>
      </c>
      <c r="G12" s="4">
        <f>B12*C12*12</f>
        <v>7361396599.0950012</v>
      </c>
      <c r="H12" s="14" t="s">
        <v>16</v>
      </c>
    </row>
    <row r="15" spans="1:8" ht="22.05" customHeight="1" x14ac:dyDescent="0.3">
      <c r="A15" s="63" t="s">
        <v>123</v>
      </c>
      <c r="B15" s="63"/>
      <c r="C15" s="63"/>
      <c r="D15" s="63"/>
      <c r="E15" s="63"/>
      <c r="F15" s="63"/>
      <c r="G15" s="63"/>
      <c r="H15" s="63"/>
    </row>
    <row r="16" spans="1:8" ht="18" customHeight="1" x14ac:dyDescent="0.3">
      <c r="A16" s="1" t="s">
        <v>124</v>
      </c>
      <c r="B16" s="1" t="s">
        <v>125</v>
      </c>
      <c r="C16" s="1" t="s">
        <v>126</v>
      </c>
      <c r="D16" s="1" t="s">
        <v>127</v>
      </c>
      <c r="E16" s="1" t="s">
        <v>16</v>
      </c>
      <c r="F16" s="1" t="s">
        <v>16</v>
      </c>
      <c r="G16" s="1" t="s">
        <v>16</v>
      </c>
      <c r="H16" s="1" t="s">
        <v>16</v>
      </c>
    </row>
    <row r="17" spans="1:4" ht="18" customHeight="1" x14ac:dyDescent="0.3">
      <c r="A17" s="12" t="s">
        <v>128</v>
      </c>
      <c r="B17" s="4">
        <v>57200</v>
      </c>
      <c r="C17" s="4">
        <f>B17*148*12*0.7</f>
        <v>71111040</v>
      </c>
      <c r="D17" s="4">
        <f>B17*148*12</f>
        <v>101587200</v>
      </c>
    </row>
    <row r="18" spans="1:4" ht="18" customHeight="1" x14ac:dyDescent="0.3">
      <c r="A18" s="2" t="s">
        <v>129</v>
      </c>
      <c r="B18" s="3">
        <v>91900</v>
      </c>
      <c r="C18" s="4">
        <f>B18*148*12*0.7</f>
        <v>114250080</v>
      </c>
      <c r="D18" s="4">
        <f>B18*148*12</f>
        <v>163214400</v>
      </c>
    </row>
    <row r="19" spans="1:4" ht="18" customHeight="1" x14ac:dyDescent="0.3">
      <c r="A19" s="12" t="s">
        <v>130</v>
      </c>
      <c r="B19" s="4">
        <v>110000</v>
      </c>
      <c r="C19" s="4">
        <f>B19*148*12*0.7</f>
        <v>136752000</v>
      </c>
      <c r="D19" s="4">
        <f>B19*148*12</f>
        <v>195360000</v>
      </c>
    </row>
  </sheetData>
  <mergeCells count="5">
    <mergeCell ref="A1:H1"/>
    <mergeCell ref="A4:C4"/>
    <mergeCell ref="A5:C5"/>
    <mergeCell ref="A6:H6"/>
    <mergeCell ref="A15:H15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39C12"/>
  </sheetPr>
  <dimension ref="A1:E29"/>
  <sheetViews>
    <sheetView showGridLines="0" topLeftCell="A11" workbookViewId="0">
      <selection activeCell="B31" sqref="B31"/>
    </sheetView>
  </sheetViews>
  <sheetFormatPr baseColWidth="10" defaultColWidth="8.88671875" defaultRowHeight="14.4" x14ac:dyDescent="0.3"/>
  <cols>
    <col min="1" max="1" width="32" customWidth="1"/>
    <col min="2" max="5" width="20" customWidth="1"/>
  </cols>
  <sheetData>
    <row r="1" spans="1:5" ht="30" customHeight="1" x14ac:dyDescent="0.3">
      <c r="A1" s="64" t="s">
        <v>131</v>
      </c>
      <c r="B1" s="64"/>
      <c r="C1" s="64"/>
      <c r="D1" s="64"/>
      <c r="E1" s="64"/>
    </row>
    <row r="3" spans="1:5" ht="22.05" customHeight="1" x14ac:dyDescent="0.3">
      <c r="A3" s="63" t="s">
        <v>132</v>
      </c>
      <c r="B3" s="63"/>
      <c r="C3" s="63"/>
      <c r="D3" s="63"/>
      <c r="E3" s="63"/>
    </row>
    <row r="4" spans="1:5" ht="18" customHeight="1" x14ac:dyDescent="0.3">
      <c r="A4" s="1" t="s">
        <v>124</v>
      </c>
      <c r="B4" s="1" t="s">
        <v>133</v>
      </c>
      <c r="C4" s="1" t="s">
        <v>134</v>
      </c>
      <c r="D4" s="1" t="s">
        <v>135</v>
      </c>
      <c r="E4" s="1" t="s">
        <v>16</v>
      </c>
    </row>
    <row r="5" spans="1:5" ht="19.95" customHeight="1" x14ac:dyDescent="0.3">
      <c r="A5" s="12" t="s">
        <v>136</v>
      </c>
      <c r="B5" s="3">
        <v>250000000</v>
      </c>
      <c r="C5" s="25">
        <f>B5/SUPUESTOS!B35</f>
        <v>65789.473684210519</v>
      </c>
      <c r="D5" s="49" t="s">
        <v>137</v>
      </c>
    </row>
    <row r="6" spans="1:5" ht="19.95" customHeight="1" x14ac:dyDescent="0.3">
      <c r="A6" s="50" t="s">
        <v>138</v>
      </c>
      <c r="B6" s="51">
        <v>400000000</v>
      </c>
      <c r="C6" s="25">
        <f>B6/SUPUESTOS!B35</f>
        <v>105263.15789473684</v>
      </c>
      <c r="D6" s="49" t="s">
        <v>139</v>
      </c>
    </row>
    <row r="7" spans="1:5" ht="19.95" customHeight="1" x14ac:dyDescent="0.3">
      <c r="A7" s="12" t="s">
        <v>140</v>
      </c>
      <c r="B7" s="3">
        <v>600000000</v>
      </c>
      <c r="C7" s="25">
        <f>B7/SUPUESTOS!B35</f>
        <v>157894.73684210525</v>
      </c>
      <c r="D7" s="49" t="s">
        <v>141</v>
      </c>
    </row>
    <row r="9" spans="1:5" ht="22.05" customHeight="1" x14ac:dyDescent="0.3">
      <c r="A9" s="63" t="s">
        <v>142</v>
      </c>
      <c r="B9" s="63"/>
      <c r="C9" s="63"/>
      <c r="D9" s="63"/>
      <c r="E9" s="63"/>
    </row>
    <row r="10" spans="1:5" ht="18" customHeight="1" x14ac:dyDescent="0.3">
      <c r="A10" s="1" t="s">
        <v>124</v>
      </c>
      <c r="B10" s="1" t="s">
        <v>133</v>
      </c>
      <c r="C10" s="1" t="s">
        <v>143</v>
      </c>
      <c r="D10" s="1" t="s">
        <v>144</v>
      </c>
      <c r="E10" s="1" t="s">
        <v>145</v>
      </c>
    </row>
    <row r="11" spans="1:5" ht="18" customHeight="1" x14ac:dyDescent="0.3">
      <c r="A11" s="2" t="s">
        <v>146</v>
      </c>
      <c r="B11" s="52">
        <v>1000</v>
      </c>
    </row>
    <row r="12" spans="1:5" ht="19.95" customHeight="1" x14ac:dyDescent="0.3">
      <c r="A12" s="12" t="s">
        <v>136</v>
      </c>
      <c r="B12" s="4">
        <f>B5</f>
        <v>250000000</v>
      </c>
      <c r="C12" s="53">
        <f>B11</f>
        <v>1000</v>
      </c>
      <c r="D12" s="54">
        <f>B12/C12</f>
        <v>250000</v>
      </c>
      <c r="E12" s="25">
        <f>D12/SUPUESTOS!B35</f>
        <v>65.78947368421052</v>
      </c>
    </row>
    <row r="13" spans="1:5" ht="19.95" customHeight="1" x14ac:dyDescent="0.3">
      <c r="A13" s="50" t="s">
        <v>138</v>
      </c>
      <c r="B13" s="4">
        <f>B6</f>
        <v>400000000</v>
      </c>
      <c r="C13" s="53">
        <f>B11</f>
        <v>1000</v>
      </c>
      <c r="D13" s="11">
        <f>B13/C13</f>
        <v>400000</v>
      </c>
      <c r="E13" s="25">
        <f>D13/SUPUESTOS!B35</f>
        <v>105.26315789473684</v>
      </c>
    </row>
    <row r="14" spans="1:5" ht="19.95" customHeight="1" x14ac:dyDescent="0.3">
      <c r="A14" s="12" t="s">
        <v>140</v>
      </c>
      <c r="B14" s="4">
        <f>B7</f>
        <v>600000000</v>
      </c>
      <c r="C14" s="53">
        <f>B11</f>
        <v>1000</v>
      </c>
      <c r="D14" s="54">
        <f>B14/C14</f>
        <v>600000</v>
      </c>
      <c r="E14" s="25">
        <f>D14/SUPUESTOS!B35</f>
        <v>157.89473684210526</v>
      </c>
    </row>
    <row r="16" spans="1:5" ht="22.05" customHeight="1" x14ac:dyDescent="0.3">
      <c r="A16" s="63" t="s">
        <v>147</v>
      </c>
      <c r="B16" s="63"/>
      <c r="C16" s="63"/>
      <c r="D16" s="63"/>
      <c r="E16" s="63"/>
    </row>
    <row r="17" spans="1:5" ht="18" customHeight="1" x14ac:dyDescent="0.3">
      <c r="A17" s="1" t="s">
        <v>148</v>
      </c>
      <c r="B17" s="1" t="s">
        <v>149</v>
      </c>
      <c r="C17" s="1" t="s">
        <v>150</v>
      </c>
      <c r="D17" s="1" t="s">
        <v>151</v>
      </c>
      <c r="E17" s="1" t="s">
        <v>152</v>
      </c>
    </row>
    <row r="18" spans="1:5" ht="19.95" customHeight="1" x14ac:dyDescent="0.3">
      <c r="A18" s="4">
        <v>120000000</v>
      </c>
      <c r="B18" s="53">
        <f>ROUND(A18/(B6/B11),0)</f>
        <v>300</v>
      </c>
      <c r="C18" s="5">
        <f>B18/(B11+B18)</f>
        <v>0.23076923076923078</v>
      </c>
      <c r="D18" s="4">
        <f>B6+A18</f>
        <v>520000000</v>
      </c>
      <c r="E18" s="55" t="s">
        <v>16</v>
      </c>
    </row>
    <row r="19" spans="1:5" ht="19.95" customHeight="1" x14ac:dyDescent="0.3">
      <c r="A19" s="51">
        <v>180000000</v>
      </c>
      <c r="B19" s="56">
        <f>ROUND(A19/(B6/B11),0)</f>
        <v>450</v>
      </c>
      <c r="C19" s="57">
        <f>B19/(B11+B19)</f>
        <v>0.31034482758620691</v>
      </c>
      <c r="D19" s="48">
        <f>B6+A19</f>
        <v>580000000</v>
      </c>
      <c r="E19" s="58" t="s">
        <v>153</v>
      </c>
    </row>
    <row r="20" spans="1:5" ht="19.95" customHeight="1" x14ac:dyDescent="0.3">
      <c r="A20" s="4">
        <v>260000000</v>
      </c>
      <c r="B20" s="53">
        <f>ROUND(A20/(B6/B11),0)</f>
        <v>650</v>
      </c>
      <c r="C20" s="5">
        <f>B20/(B11+B20)</f>
        <v>0.39393939393939392</v>
      </c>
      <c r="D20" s="4">
        <f>B6+A20</f>
        <v>660000000</v>
      </c>
      <c r="E20" s="55" t="s">
        <v>16</v>
      </c>
    </row>
    <row r="23" spans="1:5" ht="22.05" customHeight="1" x14ac:dyDescent="0.3">
      <c r="A23" s="63" t="s">
        <v>154</v>
      </c>
      <c r="B23" s="63"/>
      <c r="C23" s="63"/>
      <c r="D23" s="63"/>
      <c r="E23" s="63"/>
    </row>
    <row r="24" spans="1:5" ht="19.95" customHeight="1" x14ac:dyDescent="0.3">
      <c r="A24" s="12" t="s">
        <v>155</v>
      </c>
      <c r="B24" s="3">
        <v>180000000</v>
      </c>
    </row>
    <row r="25" spans="1:5" ht="19.95" customHeight="1" x14ac:dyDescent="0.3">
      <c r="A25" s="12" t="s">
        <v>156</v>
      </c>
      <c r="B25" s="59">
        <v>0.31</v>
      </c>
    </row>
    <row r="26" spans="1:5" ht="19.95" customHeight="1" x14ac:dyDescent="0.3">
      <c r="A26" s="2" t="s">
        <v>157</v>
      </c>
      <c r="B26" s="48">
        <v>11800000000</v>
      </c>
    </row>
    <row r="27" spans="1:5" ht="19.95" customHeight="1" x14ac:dyDescent="0.3">
      <c r="A27" s="8" t="s">
        <v>158</v>
      </c>
      <c r="B27" s="18">
        <f>B24*B25</f>
        <v>55800000</v>
      </c>
    </row>
    <row r="28" spans="1:5" ht="19.95" customHeight="1" x14ac:dyDescent="0.3">
      <c r="A28" s="8" t="s">
        <v>159</v>
      </c>
      <c r="B28" s="19">
        <f>B27/B24</f>
        <v>0.31</v>
      </c>
    </row>
    <row r="29" spans="1:5" ht="19.95" customHeight="1" x14ac:dyDescent="0.3">
      <c r="A29" s="2" t="s">
        <v>160</v>
      </c>
      <c r="B29" s="60">
        <v>0.82</v>
      </c>
    </row>
  </sheetData>
  <mergeCells count="5">
    <mergeCell ref="A1:E1"/>
    <mergeCell ref="A3:E3"/>
    <mergeCell ref="A9:E9"/>
    <mergeCell ref="A16:E16"/>
    <mergeCell ref="A23:E2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SUPUESTOS</vt:lpstr>
      <vt:lpstr>Hoja1</vt:lpstr>
      <vt:lpstr>AÑO 1</vt:lpstr>
      <vt:lpstr>5 AÑOS</vt:lpstr>
      <vt:lpstr>VALORACIÓN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2026-06-08T14:39:15Z</dcterms:created>
  <dcterms:modified xsi:type="dcterms:W3CDTF">2026-06-09T12:24:24Z</dcterms:modified>
  <cp:category/>
</cp:coreProperties>
</file>